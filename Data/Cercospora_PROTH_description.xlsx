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suagctr-my.sharepoint.com/personal/acerutti_agcenter_lsu_edu/Documents/Documents/GitHub/Cercospora_PROTH/Data/"/>
    </mc:Choice>
  </mc:AlternateContent>
  <xr:revisionPtr revIDLastSave="376" documentId="8_{B521CAD1-B04F-41B4-8C4D-BBC1E172B03C}" xr6:coauthVersionLast="47" xr6:coauthVersionMax="47" xr10:uidLastSave="{78DF4679-8C95-4B81-B9E0-C7ABEBBF2968}"/>
  <bookViews>
    <workbookView xWindow="28680" yWindow="3495" windowWidth="29040" windowHeight="16440" activeTab="1" xr2:uid="{58E64BEA-56DB-4F46-BCEA-90D1CD645A95}"/>
  </bookViews>
  <sheets>
    <sheet name="Sheet1" sheetId="8" r:id="rId1"/>
    <sheet name="PROTH" sheetId="7" r:id="rId2"/>
  </sheets>
  <definedNames>
    <definedName name="_xlnm._FilterDatabase" localSheetId="1" hidden="1">PROTH!$A$1:$W$1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1" i="7" l="1"/>
  <c r="S91" i="7" s="1"/>
  <c r="T91" i="7" s="1"/>
  <c r="R90" i="7"/>
  <c r="S90" i="7" s="1"/>
  <c r="T90" i="7" s="1"/>
  <c r="R89" i="7"/>
  <c r="S89" i="7" s="1"/>
  <c r="T89" i="7" s="1"/>
  <c r="R88" i="7"/>
  <c r="S88" i="7" s="1"/>
  <c r="T88" i="7" s="1"/>
  <c r="R87" i="7"/>
  <c r="S87" i="7" s="1"/>
  <c r="T87" i="7" s="1"/>
  <c r="R86" i="7"/>
  <c r="S86" i="7" s="1"/>
  <c r="T86" i="7" s="1"/>
  <c r="R85" i="7"/>
  <c r="S85" i="7" s="1"/>
  <c r="T85" i="7" s="1"/>
  <c r="R84" i="7"/>
  <c r="S84" i="7" s="1"/>
  <c r="T84" i="7" s="1"/>
  <c r="R83" i="7"/>
  <c r="S83" i="7" s="1"/>
  <c r="T83" i="7" s="1"/>
  <c r="R82" i="7"/>
  <c r="S82" i="7" s="1"/>
  <c r="T82" i="7" s="1"/>
  <c r="S81" i="7"/>
  <c r="T81" i="7" s="1"/>
  <c r="R81" i="7"/>
  <c r="R80" i="7"/>
  <c r="S80" i="7" s="1"/>
  <c r="T80" i="7" s="1"/>
  <c r="R79" i="7"/>
  <c r="S79" i="7" s="1"/>
  <c r="T79" i="7" s="1"/>
  <c r="R78" i="7"/>
  <c r="S78" i="7" s="1"/>
  <c r="T78" i="7" s="1"/>
  <c r="R77" i="7"/>
  <c r="S77" i="7" s="1"/>
  <c r="T77" i="7" s="1"/>
  <c r="S76" i="7"/>
  <c r="T76" i="7" s="1"/>
  <c r="R76" i="7"/>
  <c r="R75" i="7"/>
  <c r="S75" i="7" s="1"/>
  <c r="T75" i="7" s="1"/>
  <c r="R74" i="7"/>
  <c r="S74" i="7" s="1"/>
  <c r="T74" i="7" s="1"/>
  <c r="S73" i="7"/>
  <c r="T73" i="7" s="1"/>
  <c r="R73" i="7"/>
  <c r="R72" i="7"/>
  <c r="S72" i="7" s="1"/>
  <c r="T72" i="7" s="1"/>
  <c r="R71" i="7"/>
  <c r="S71" i="7" s="1"/>
  <c r="T71" i="7" s="1"/>
  <c r="R70" i="7"/>
  <c r="S70" i="7" s="1"/>
  <c r="T70" i="7" s="1"/>
  <c r="R69" i="7"/>
  <c r="S69" i="7" s="1"/>
  <c r="T69" i="7" s="1"/>
  <c r="S68" i="7"/>
  <c r="T68" i="7" s="1"/>
  <c r="R68" i="7"/>
  <c r="R67" i="7"/>
  <c r="S67" i="7" s="1"/>
  <c r="R66" i="7"/>
  <c r="S66" i="7" s="1"/>
  <c r="R65" i="7"/>
  <c r="S65" i="7" s="1"/>
  <c r="R64" i="7"/>
  <c r="S64" i="7" s="1"/>
  <c r="R63" i="7"/>
  <c r="S63" i="7" s="1"/>
  <c r="R62" i="7"/>
  <c r="S62" i="7" s="1"/>
  <c r="R61" i="7"/>
  <c r="S61" i="7" s="1"/>
  <c r="R60" i="7"/>
  <c r="S60" i="7" s="1"/>
  <c r="R59" i="7"/>
  <c r="S59" i="7" s="1"/>
  <c r="R58" i="7"/>
  <c r="S58" i="7" s="1"/>
  <c r="R57" i="7"/>
  <c r="S57" i="7" s="1"/>
  <c r="R56" i="7"/>
  <c r="S56" i="7" s="1"/>
  <c r="R55" i="7"/>
  <c r="S55" i="7" s="1"/>
  <c r="R54" i="7"/>
  <c r="S54" i="7" s="1"/>
  <c r="R53" i="7"/>
  <c r="S53" i="7" s="1"/>
  <c r="R52" i="7"/>
  <c r="S52" i="7" s="1"/>
  <c r="R51" i="7"/>
  <c r="S51" i="7" s="1"/>
  <c r="R50" i="7"/>
  <c r="S50" i="7" s="1"/>
</calcChain>
</file>

<file path=xl/sharedStrings.xml><?xml version="1.0" encoding="utf-8"?>
<sst xmlns="http://schemas.openxmlformats.org/spreadsheetml/2006/main" count="757" uniqueCount="50">
  <si>
    <t>year</t>
  </si>
  <si>
    <t>trial</t>
  </si>
  <si>
    <t>env</t>
  </si>
  <si>
    <t>field</t>
  </si>
  <si>
    <t>plot</t>
  </si>
  <si>
    <t>col</t>
  </si>
  <si>
    <t>row</t>
  </si>
  <si>
    <t>blk</t>
  </si>
  <si>
    <t>trt</t>
  </si>
  <si>
    <t>gen</t>
  </si>
  <si>
    <t>weight</t>
  </si>
  <si>
    <t>moist</t>
  </si>
  <si>
    <t>tw</t>
  </si>
  <si>
    <t>weight_12</t>
  </si>
  <si>
    <t>kg_ha</t>
  </si>
  <si>
    <t>yield</t>
  </si>
  <si>
    <t>total</t>
  </si>
  <si>
    <t>head</t>
  </si>
  <si>
    <t>NBLS</t>
  </si>
  <si>
    <t>PVL03</t>
  </si>
  <si>
    <t>RRS2</t>
  </si>
  <si>
    <t>RRS3</t>
  </si>
  <si>
    <t>LA</t>
  </si>
  <si>
    <t>CER_PROTH2</t>
  </si>
  <si>
    <t>stage</t>
  </si>
  <si>
    <t>fung</t>
  </si>
  <si>
    <t>rate</t>
  </si>
  <si>
    <t>P2C3</t>
  </si>
  <si>
    <t>B+H</t>
  </si>
  <si>
    <t>proth</t>
  </si>
  <si>
    <t>1x</t>
  </si>
  <si>
    <t>B</t>
  </si>
  <si>
    <t>4x</t>
  </si>
  <si>
    <t>2x</t>
  </si>
  <si>
    <t>UTC</t>
  </si>
  <si>
    <t>CER_PROTH3</t>
  </si>
  <si>
    <t>P3C3</t>
  </si>
  <si>
    <t>CL111</t>
  </si>
  <si>
    <t>CER_PROTH4</t>
  </si>
  <si>
    <t>P4C3</t>
  </si>
  <si>
    <t>CER_PROTH5</t>
  </si>
  <si>
    <t>P5C1</t>
  </si>
  <si>
    <t>WIN</t>
  </si>
  <si>
    <t>Row Labels</t>
  </si>
  <si>
    <t>Grand Total</t>
  </si>
  <si>
    <t>trial_ID</t>
  </si>
  <si>
    <t>24-CER_PROTH2</t>
  </si>
  <si>
    <t>24-CER_PROTH3</t>
  </si>
  <si>
    <t>24-CER_PROTH4</t>
  </si>
  <si>
    <t>24-CER_PROTH5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</si>
</sst>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rutti, Anderson Da Cruz" refreshedDate="46010.651371759261" createdVersion="8" refreshedVersion="8" minRefreshableVersion="3" recordCount="90" xr:uid="{0F394AB1-5D53-45CE-BB72-4716AB363978}">
  <cacheSource type="worksheet">
    <worksheetSource ref="A1:W91" sheet="PROTH"/>
  </cacheSource>
  <cacheFields count="23">
    <cacheField name="year" numFmtId="0">
      <sharedItems containsSemiMixedTypes="0" containsString="0" containsNumber="1" containsInteger="1" minValue="2024" maxValue="2024" count="1">
        <n v="2024"/>
      </sharedItems>
    </cacheField>
    <cacheField name="trial" numFmtId="0">
      <sharedItems count="4">
        <s v="CER_PROTH2"/>
        <s v="CER_PROTH3"/>
        <s v="CER_PROTH4"/>
        <s v="CER_PROTH5"/>
      </sharedItems>
    </cacheField>
    <cacheField name="env" numFmtId="0">
      <sharedItems/>
    </cacheField>
    <cacheField name="field" numFmtId="0">
      <sharedItems count="4">
        <s v="RRS2"/>
        <s v="RRS3"/>
        <s v="LA"/>
        <s v="WIN"/>
      </sharedItems>
    </cacheField>
    <cacheField name="plot_ID" numFmtId="0">
      <sharedItems/>
    </cacheField>
    <cacheField name="plot" numFmtId="0">
      <sharedItems containsSemiMixedTypes="0" containsString="0" containsNumber="1" containsInteger="1" minValue="101" maxValue="604"/>
    </cacheField>
    <cacheField name="col" numFmtId="0">
      <sharedItems containsSemiMixedTypes="0" containsString="0" containsNumber="1" containsInteger="1" minValue="1" maxValue="9"/>
    </cacheField>
    <cacheField name="row" numFmtId="0">
      <sharedItems containsSemiMixedTypes="0" containsString="0" containsNumber="1" containsInteger="1" minValue="1" maxValue="6"/>
    </cacheField>
    <cacheField name="blk" numFmtId="0">
      <sharedItems containsSemiMixedTypes="0" containsString="0" containsNumber="1" containsInteger="1" minValue="1" maxValue="4"/>
    </cacheField>
    <cacheField name="trt" numFmtId="0">
      <sharedItems containsSemiMixedTypes="0" containsString="0" containsNumber="1" containsInteger="1" minValue="1" maxValue="6"/>
    </cacheField>
    <cacheField name="gen" numFmtId="0">
      <sharedItems count="2">
        <s v="PVL03"/>
        <s v="CL111"/>
      </sharedItems>
    </cacheField>
    <cacheField name="stage" numFmtId="0">
      <sharedItems/>
    </cacheField>
    <cacheField name="fung" numFmtId="0">
      <sharedItems/>
    </cacheField>
    <cacheField name="rate" numFmtId="0">
      <sharedItems/>
    </cacheField>
    <cacheField name="weight" numFmtId="0">
      <sharedItems containsSemiMixedTypes="0" containsString="0" containsNumber="1" minValue="5.75" maxValue="22.04"/>
    </cacheField>
    <cacheField name="moist" numFmtId="0">
      <sharedItems containsSemiMixedTypes="0" containsString="0" containsNumber="1" minValue="11.8" maxValue="18.100000000000001"/>
    </cacheField>
    <cacheField name="tw" numFmtId="0">
      <sharedItems containsSemiMixedTypes="0" containsString="0" containsNumber="1" minValue="30.2" maxValue="47.5"/>
    </cacheField>
    <cacheField name="weight_12" numFmtId="0">
      <sharedItems containsSemiMixedTypes="0" containsString="0" containsNumber="1" minValue="5.67" maxValue="21.864681818181818"/>
    </cacheField>
    <cacheField name="kg_ha" numFmtId="0">
      <sharedItems containsSemiMixedTypes="0" containsString="0" containsNumber="1" minValue="653.83498292020647" maxValue="6989.18"/>
    </cacheField>
    <cacheField name="yield" numFmtId="0">
      <sharedItems containsSemiMixedTypes="0" containsString="0" containsNumber="1" minValue="1084.1946948619027" maxValue="6950.4775019999997"/>
    </cacheField>
    <cacheField name="total" numFmtId="0">
      <sharedItems containsMixedTypes="1" containsNumber="1" minValue="62.57" maxValue="76.33"/>
    </cacheField>
    <cacheField name="head" numFmtId="0">
      <sharedItems containsMixedTypes="1" containsNumber="1" minValue="36.4" maxValue="57.65"/>
    </cacheField>
    <cacheField name="NBLS" numFmtId="0">
      <sharedItems containsMixedTypes="1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P2C3"/>
    <x v="0"/>
    <s v="24-P2C3_101"/>
    <n v="101"/>
    <n v="1"/>
    <n v="1"/>
    <n v="1"/>
    <n v="5"/>
    <x v="0"/>
    <s v="B+H"/>
    <s v="proth"/>
    <s v="1x"/>
    <n v="10.33"/>
    <n v="17.2"/>
    <n v="43.2"/>
    <n v="9.7200000000000006"/>
    <n v="6363.66"/>
    <n v="5676.77"/>
    <n v="70.319999999999993"/>
    <n v="51.52"/>
    <n v="0"/>
  </r>
  <r>
    <x v="0"/>
    <x v="0"/>
    <s v="P2C3"/>
    <x v="0"/>
    <s v="24-P2C3_102"/>
    <n v="102"/>
    <n v="2"/>
    <n v="1"/>
    <n v="2"/>
    <n v="4"/>
    <x v="0"/>
    <s v="B"/>
    <s v="proth"/>
    <s v="4x"/>
    <n v="9.6999999999999993"/>
    <n v="17.8"/>
    <n v="42.6"/>
    <n v="9.06"/>
    <n v="5932.26"/>
    <n v="5291.93"/>
    <n v="71.010000000000005"/>
    <n v="50.32"/>
    <n v="1"/>
  </r>
  <r>
    <x v="0"/>
    <x v="0"/>
    <s v="P2C3"/>
    <x v="0"/>
    <s v="24-P2C3_103"/>
    <n v="103"/>
    <n v="3"/>
    <n v="1"/>
    <n v="3"/>
    <n v="3"/>
    <x v="0"/>
    <s v="B"/>
    <s v="proth"/>
    <s v="2x"/>
    <n v="10.51"/>
    <n v="16"/>
    <n v="43.7"/>
    <n v="10.029999999999999"/>
    <n v="6568.38"/>
    <n v="5859.4"/>
    <n v="71.22"/>
    <n v="50.24"/>
    <n v="1"/>
  </r>
  <r>
    <x v="0"/>
    <x v="0"/>
    <s v="P2C3"/>
    <x v="0"/>
    <s v="24-P2C3_104"/>
    <n v="104"/>
    <n v="4"/>
    <n v="1"/>
    <n v="4"/>
    <n v="1"/>
    <x v="0"/>
    <s v="UTC"/>
    <s v="UTC"/>
    <s v="UTC"/>
    <n v="11.21"/>
    <n v="16.2"/>
    <n v="43.6"/>
    <n v="10.67"/>
    <n v="6989.18"/>
    <n v="6234.77"/>
    <n v="71.8"/>
    <n v="51.65"/>
    <n v="1"/>
  </r>
  <r>
    <x v="0"/>
    <x v="0"/>
    <s v="P2C3"/>
    <x v="0"/>
    <s v="24-P2C3_201"/>
    <n v="201"/>
    <n v="1"/>
    <n v="2"/>
    <n v="1"/>
    <n v="3"/>
    <x v="0"/>
    <s v="B"/>
    <s v="proth"/>
    <s v="2x"/>
    <n v="10.56"/>
    <n v="17.2"/>
    <n v="43.1"/>
    <n v="9.94"/>
    <n v="6505.35"/>
    <n v="5803.17"/>
    <n v="70.45"/>
    <n v="50.98"/>
    <n v="0"/>
  </r>
  <r>
    <x v="0"/>
    <x v="0"/>
    <s v="P2C3"/>
    <x v="0"/>
    <s v="24-P2C3_202"/>
    <n v="202"/>
    <n v="2"/>
    <n v="2"/>
    <n v="2"/>
    <n v="1"/>
    <x v="0"/>
    <s v="UTC"/>
    <s v="UTC"/>
    <s v="UTC"/>
    <n v="10.1"/>
    <n v="16.600000000000001"/>
    <n v="43.3"/>
    <n v="9.57"/>
    <n v="6267.06"/>
    <n v="5590.6"/>
    <n v="70.06"/>
    <n v="48.21"/>
    <n v="1"/>
  </r>
  <r>
    <x v="0"/>
    <x v="0"/>
    <s v="P2C3"/>
    <x v="0"/>
    <s v="24-P2C3_203"/>
    <n v="203"/>
    <n v="3"/>
    <n v="2"/>
    <n v="3"/>
    <n v="2"/>
    <x v="0"/>
    <s v="B"/>
    <s v="proth"/>
    <s v="1x"/>
    <n v="9.08"/>
    <n v="15.7"/>
    <n v="43.6"/>
    <n v="8.6999999999999993"/>
    <n v="5694.95"/>
    <n v="5080.24"/>
    <n v="70.349999999999994"/>
    <n v="46.85"/>
    <n v="0"/>
  </r>
  <r>
    <x v="0"/>
    <x v="0"/>
    <s v="P2C3"/>
    <x v="0"/>
    <s v="24-P2C3_204"/>
    <n v="204"/>
    <n v="4"/>
    <n v="2"/>
    <n v="4"/>
    <n v="3"/>
    <x v="0"/>
    <s v="B"/>
    <s v="proth"/>
    <s v="2x"/>
    <n v="9.83"/>
    <n v="16.3"/>
    <n v="43.5"/>
    <n v="9.35"/>
    <n v="6121.47"/>
    <n v="5460.72"/>
    <n v="70.69"/>
    <n v="49.28"/>
    <n v="1"/>
  </r>
  <r>
    <x v="0"/>
    <x v="0"/>
    <s v="P2C3"/>
    <x v="0"/>
    <s v="24-P2C3_301"/>
    <n v="301"/>
    <n v="1"/>
    <n v="3"/>
    <n v="1"/>
    <n v="4"/>
    <x v="0"/>
    <s v="B"/>
    <s v="proth"/>
    <s v="4x"/>
    <n v="9.93"/>
    <n v="17.5"/>
    <n v="42.8"/>
    <n v="9.31"/>
    <n v="6095.08"/>
    <n v="5437.18"/>
    <n v="70.459999999999994"/>
    <n v="50.94"/>
    <n v="1"/>
  </r>
  <r>
    <x v="0"/>
    <x v="0"/>
    <s v="P2C3"/>
    <x v="0"/>
    <s v="24-P2C3_302"/>
    <n v="302"/>
    <n v="2"/>
    <n v="3"/>
    <n v="2"/>
    <n v="2"/>
    <x v="0"/>
    <s v="B"/>
    <s v="proth"/>
    <s v="1x"/>
    <n v="9.57"/>
    <n v="16.3"/>
    <n v="43.5"/>
    <n v="9.1"/>
    <n v="5959.56"/>
    <n v="5316.29"/>
    <n v="69.86"/>
    <n v="49.06"/>
    <n v="0"/>
  </r>
  <r>
    <x v="0"/>
    <x v="0"/>
    <s v="P2C3"/>
    <x v="0"/>
    <s v="24-P2C3_303"/>
    <n v="303"/>
    <n v="3"/>
    <n v="3"/>
    <n v="3"/>
    <n v="4"/>
    <x v="0"/>
    <s v="B"/>
    <s v="proth"/>
    <s v="4x"/>
    <n v="9.9"/>
    <n v="16"/>
    <n v="43.5"/>
    <n v="9.4499999999999993"/>
    <n v="6187.16"/>
    <n v="5519.32"/>
    <n v="70.069999999999993"/>
    <n v="46.63"/>
    <n v="1"/>
  </r>
  <r>
    <x v="0"/>
    <x v="0"/>
    <s v="P2C3"/>
    <x v="0"/>
    <s v="24-P2C3_304"/>
    <n v="304"/>
    <n v="4"/>
    <n v="3"/>
    <n v="4"/>
    <n v="2"/>
    <x v="0"/>
    <s v="B"/>
    <s v="proth"/>
    <s v="1x"/>
    <n v="10.01"/>
    <n v="16"/>
    <n v="43.6"/>
    <n v="9.56"/>
    <n v="6255.9"/>
    <n v="5580.64"/>
    <n v="71.150000000000006"/>
    <n v="49.21"/>
    <n v="0"/>
  </r>
  <r>
    <x v="0"/>
    <x v="0"/>
    <s v="P2C3"/>
    <x v="0"/>
    <s v="24-P2C3_401"/>
    <n v="401"/>
    <n v="1"/>
    <n v="4"/>
    <n v="1"/>
    <n v="1"/>
    <x v="0"/>
    <s v="UTC"/>
    <s v="proth"/>
    <s v="UTC"/>
    <n v="10.73"/>
    <n v="17.3"/>
    <n v="43.1"/>
    <n v="10.08"/>
    <n v="6602.09"/>
    <n v="5889.47"/>
    <n v="70.25"/>
    <n v="50.07"/>
    <n v="1"/>
  </r>
  <r>
    <x v="0"/>
    <x v="0"/>
    <s v="P2C3"/>
    <x v="0"/>
    <s v="24-P2C3_402"/>
    <n v="402"/>
    <n v="2"/>
    <n v="4"/>
    <n v="2"/>
    <n v="5"/>
    <x v="0"/>
    <s v="B+H"/>
    <s v="proth"/>
    <s v="1x"/>
    <n v="10.33"/>
    <n v="16.2"/>
    <n v="43.5"/>
    <n v="9.84"/>
    <n v="6440.52"/>
    <n v="5745.33"/>
    <n v="70.010000000000005"/>
    <n v="48.55"/>
    <n v="0"/>
  </r>
  <r>
    <x v="0"/>
    <x v="0"/>
    <s v="P2C3"/>
    <x v="0"/>
    <s v="24-P2C3_403"/>
    <n v="403"/>
    <n v="3"/>
    <n v="4"/>
    <n v="3"/>
    <n v="5"/>
    <x v="0"/>
    <s v="B+H"/>
    <s v="proth"/>
    <s v="1x"/>
    <n v="10.75"/>
    <n v="16.399999999999999"/>
    <n v="43.4"/>
    <n v="10.210000000000001"/>
    <n v="6686.38"/>
    <n v="5964.66"/>
    <n v="72.36"/>
    <n v="52.23"/>
    <n v="1"/>
  </r>
  <r>
    <x v="0"/>
    <x v="0"/>
    <s v="P2C3"/>
    <x v="0"/>
    <s v="24-P2C3_404"/>
    <n v="404"/>
    <n v="4"/>
    <n v="4"/>
    <n v="4"/>
    <n v="6"/>
    <x v="0"/>
    <s v="B+H"/>
    <s v="proth"/>
    <s v="2x"/>
    <n v="9.3699999999999992"/>
    <n v="15.7"/>
    <n v="43.7"/>
    <n v="8.98"/>
    <n v="5876.84"/>
    <n v="5242.5"/>
    <n v="71.010000000000005"/>
    <n v="48.46"/>
    <n v="0"/>
  </r>
  <r>
    <x v="0"/>
    <x v="0"/>
    <s v="P2C3"/>
    <x v="0"/>
    <s v="24-P2C3_501"/>
    <n v="501"/>
    <n v="1"/>
    <n v="5"/>
    <n v="1"/>
    <n v="2"/>
    <x v="0"/>
    <s v="B"/>
    <s v="proth"/>
    <s v="1x"/>
    <n v="9.4"/>
    <n v="18.100000000000001"/>
    <n v="42.3"/>
    <n v="8.75"/>
    <n v="5727.81"/>
    <n v="5109.55"/>
    <n v="69.73"/>
    <n v="48.45"/>
    <n v="0"/>
  </r>
  <r>
    <x v="0"/>
    <x v="0"/>
    <s v="P2C3"/>
    <x v="0"/>
    <s v="24-P2C3_502"/>
    <n v="502"/>
    <n v="2"/>
    <n v="5"/>
    <n v="2"/>
    <n v="3"/>
    <x v="0"/>
    <s v="B"/>
    <s v="proth"/>
    <s v="2x"/>
    <n v="9.36"/>
    <n v="16.8"/>
    <n v="43"/>
    <n v="8.85"/>
    <n v="5793.96"/>
    <n v="5168.57"/>
    <n v="70.45"/>
    <n v="49.79"/>
    <n v="1"/>
  </r>
  <r>
    <x v="0"/>
    <x v="0"/>
    <s v="P2C3"/>
    <x v="0"/>
    <s v="24-P2C3_503"/>
    <n v="503"/>
    <n v="3"/>
    <n v="5"/>
    <n v="3"/>
    <n v="1"/>
    <x v="0"/>
    <s v="UTC"/>
    <s v="UTC"/>
    <s v="UTC"/>
    <n v="10.1"/>
    <n v="16.3"/>
    <n v="43.3"/>
    <n v="9.61"/>
    <n v="6289.6"/>
    <n v="5610.71"/>
    <n v="70.349999999999994"/>
    <n v="47.93"/>
    <n v="0"/>
  </r>
  <r>
    <x v="0"/>
    <x v="0"/>
    <s v="P2C3"/>
    <x v="0"/>
    <s v="24-P2C3_504"/>
    <n v="504"/>
    <n v="4"/>
    <n v="5"/>
    <n v="4"/>
    <n v="4"/>
    <x v="0"/>
    <s v="B"/>
    <s v="proth"/>
    <s v="4x"/>
    <n v="8.85"/>
    <n v="15.8"/>
    <n v="43.5"/>
    <n v="8.4700000000000006"/>
    <n v="5544.11"/>
    <n v="4945.68"/>
    <n v="69.83"/>
    <n v="47.16"/>
    <n v="1"/>
  </r>
  <r>
    <x v="0"/>
    <x v="0"/>
    <s v="P2C3"/>
    <x v="0"/>
    <s v="24-P2C3_601"/>
    <n v="601"/>
    <n v="1"/>
    <n v="6"/>
    <n v="1"/>
    <n v="6"/>
    <x v="0"/>
    <s v="B+H"/>
    <s v="proth"/>
    <s v="2x"/>
    <n v="10.58"/>
    <n v="16.600000000000001"/>
    <n v="43.2"/>
    <n v="10.029999999999999"/>
    <n v="6564.9"/>
    <n v="5856.29"/>
    <n v="70.94"/>
    <n v="49.66"/>
    <n v="0"/>
  </r>
  <r>
    <x v="0"/>
    <x v="0"/>
    <s v="P2C3"/>
    <x v="0"/>
    <s v="24-P2C3_602"/>
    <n v="602"/>
    <n v="2"/>
    <n v="6"/>
    <n v="2"/>
    <n v="6"/>
    <x v="0"/>
    <s v="B+H"/>
    <s v="proth"/>
    <s v="2x"/>
    <n v="10.07"/>
    <n v="16.2"/>
    <n v="43.5"/>
    <n v="9.59"/>
    <n v="6278.41"/>
    <n v="5600.73"/>
    <n v="71.19"/>
    <n v="49.7"/>
    <n v="1"/>
  </r>
  <r>
    <x v="0"/>
    <x v="0"/>
    <s v="P2C3"/>
    <x v="0"/>
    <s v="24-P2C3_603"/>
    <n v="603"/>
    <n v="3"/>
    <n v="6"/>
    <n v="3"/>
    <n v="6"/>
    <x v="0"/>
    <s v="B+H"/>
    <s v="proth"/>
    <s v="2x"/>
    <n v="9.74"/>
    <n v="16.899999999999999"/>
    <n v="43.2"/>
    <n v="9.1999999999999993"/>
    <n v="6021.94"/>
    <n v="5371.94"/>
    <n v="70.599999999999994"/>
    <n v="47.12"/>
    <n v="1"/>
  </r>
  <r>
    <x v="0"/>
    <x v="0"/>
    <s v="P2C3"/>
    <x v="0"/>
    <s v="24-P2C3_604"/>
    <n v="604"/>
    <n v="4"/>
    <n v="6"/>
    <n v="4"/>
    <n v="5"/>
    <x v="0"/>
    <s v="B+H"/>
    <s v="proth"/>
    <s v="1x"/>
    <n v="9.41"/>
    <n v="17.100000000000001"/>
    <n v="42.9"/>
    <n v="8.86"/>
    <n v="5803.91"/>
    <n v="5177.4399999999996"/>
    <n v="70.34"/>
    <n v="47.2"/>
    <n v="1"/>
  </r>
  <r>
    <x v="0"/>
    <x v="1"/>
    <s v="P3C3"/>
    <x v="1"/>
    <s v="24-P3C3_101"/>
    <n v="101"/>
    <n v="1"/>
    <n v="1"/>
    <n v="1"/>
    <n v="5"/>
    <x v="1"/>
    <s v="B+H"/>
    <s v="proth"/>
    <s v="1x"/>
    <n v="6.87"/>
    <n v="13.1"/>
    <n v="31.9"/>
    <n v="6.78"/>
    <n v="4441.74"/>
    <n v="3962.3"/>
    <n v="67.05"/>
    <n v="43.3"/>
    <n v="1"/>
  </r>
  <r>
    <x v="0"/>
    <x v="1"/>
    <s v="P3C3"/>
    <x v="1"/>
    <s v="24-P3C3_102"/>
    <n v="102"/>
    <n v="2"/>
    <n v="1"/>
    <n v="2"/>
    <n v="6"/>
    <x v="1"/>
    <s v="B+H"/>
    <s v="proth"/>
    <s v="2x"/>
    <n v="6.48"/>
    <n v="13.4"/>
    <n v="37.5"/>
    <n v="6.38"/>
    <n v="4175.12"/>
    <n v="3724.46"/>
    <n v="66.2"/>
    <n v="41.9"/>
    <n v="0"/>
  </r>
  <r>
    <x v="0"/>
    <x v="1"/>
    <s v="P3C3"/>
    <x v="1"/>
    <s v="24-P3C3_103"/>
    <n v="103"/>
    <n v="3"/>
    <n v="1"/>
    <n v="3"/>
    <n v="2"/>
    <x v="1"/>
    <s v="B"/>
    <s v="proth"/>
    <s v="1x"/>
    <n v="6.34"/>
    <n v="12.4"/>
    <n v="30.2"/>
    <n v="6.31"/>
    <n v="4132.09"/>
    <n v="3686.08"/>
    <n v="62.57"/>
    <n v="36.4"/>
    <n v="1"/>
  </r>
  <r>
    <x v="0"/>
    <x v="1"/>
    <s v="P3C3"/>
    <x v="1"/>
    <s v="24-P3C3_104"/>
    <n v="104"/>
    <n v="4"/>
    <n v="1"/>
    <n v="4"/>
    <n v="5"/>
    <x v="1"/>
    <s v="B+H"/>
    <s v="proth"/>
    <s v="1x"/>
    <n v="5.75"/>
    <n v="13.2"/>
    <n v="35.299999999999997"/>
    <n v="5.67"/>
    <n v="3713.33"/>
    <n v="3312.52"/>
    <n v="64.069999999999993"/>
    <n v="38.08"/>
    <n v="1"/>
  </r>
  <r>
    <x v="0"/>
    <x v="1"/>
    <s v="P3C3"/>
    <x v="1"/>
    <s v="24-P3C3_201"/>
    <n v="201"/>
    <n v="1"/>
    <n v="2"/>
    <n v="1"/>
    <n v="1"/>
    <x v="1"/>
    <s v="UTC"/>
    <s v="UTC"/>
    <s v="UTC"/>
    <n v="7.24"/>
    <n v="13.1"/>
    <n v="36.799999999999997"/>
    <n v="7.15"/>
    <n v="4680.96"/>
    <n v="4175.7"/>
    <n v="69.62"/>
    <n v="47.04"/>
    <n v="1"/>
  </r>
  <r>
    <x v="0"/>
    <x v="1"/>
    <s v="P3C3"/>
    <x v="1"/>
    <s v="24-P3C3_202"/>
    <n v="202"/>
    <n v="2"/>
    <n v="2"/>
    <n v="2"/>
    <n v="3"/>
    <x v="1"/>
    <s v="B"/>
    <s v="proth"/>
    <s v="2x"/>
    <n v="7.95"/>
    <n v="13.6"/>
    <n v="39.200000000000003"/>
    <n v="7.81"/>
    <n v="5110.43"/>
    <n v="4558.8100000000004"/>
    <n v="69.540000000000006"/>
    <n v="48"/>
    <n v="0"/>
  </r>
  <r>
    <x v="0"/>
    <x v="1"/>
    <s v="P3C3"/>
    <x v="1"/>
    <s v="24-P3C3_203"/>
    <n v="203"/>
    <n v="3"/>
    <n v="2"/>
    <n v="3"/>
    <n v="6"/>
    <x v="1"/>
    <s v="B+H"/>
    <s v="proth"/>
    <s v="2x"/>
    <n v="7.58"/>
    <n v="13"/>
    <n v="36"/>
    <n v="7.49"/>
    <n v="4906.42"/>
    <n v="4376.83"/>
    <n v="69.27"/>
    <n v="45.04"/>
    <n v="1"/>
  </r>
  <r>
    <x v="0"/>
    <x v="1"/>
    <s v="P3C3"/>
    <x v="1"/>
    <s v="24-P3C3_204"/>
    <n v="204"/>
    <n v="4"/>
    <n v="2"/>
    <n v="4"/>
    <n v="2"/>
    <x v="1"/>
    <s v="B"/>
    <s v="proth"/>
    <s v="1x"/>
    <n v="7.95"/>
    <n v="13.4"/>
    <n v="37.700000000000003"/>
    <n v="7.82"/>
    <n v="5122.26"/>
    <n v="4569.37"/>
    <n v="69.989999999999995"/>
    <n v="46.4"/>
    <n v="1"/>
  </r>
  <r>
    <x v="0"/>
    <x v="1"/>
    <s v="P3C3"/>
    <x v="1"/>
    <s v="24-P3C3_301"/>
    <n v="301"/>
    <n v="1"/>
    <n v="3"/>
    <n v="1"/>
    <n v="6"/>
    <x v="1"/>
    <s v="B+H"/>
    <s v="proth"/>
    <s v="2x"/>
    <n v="7.91"/>
    <n v="14"/>
    <n v="40.200000000000003"/>
    <n v="7.73"/>
    <n v="5061.18"/>
    <n v="4514.88"/>
    <n v="71.14"/>
    <n v="50.39"/>
    <n v="1"/>
  </r>
  <r>
    <x v="0"/>
    <x v="1"/>
    <s v="P3C3"/>
    <x v="1"/>
    <s v="24-P3C3_302"/>
    <n v="302"/>
    <n v="2"/>
    <n v="3"/>
    <n v="2"/>
    <n v="4"/>
    <x v="1"/>
    <s v="B"/>
    <s v="proth"/>
    <s v="4x"/>
    <n v="7.83"/>
    <n v="14"/>
    <n v="40"/>
    <n v="7.65"/>
    <n v="5009.99"/>
    <n v="4469.21"/>
    <n v="70.88"/>
    <n v="49.58"/>
    <n v="0"/>
  </r>
  <r>
    <x v="0"/>
    <x v="1"/>
    <s v="P3C3"/>
    <x v="1"/>
    <s v="24-P3C3_303"/>
    <n v="303"/>
    <n v="3"/>
    <n v="3"/>
    <n v="3"/>
    <n v="5"/>
    <x v="1"/>
    <s v="B+H"/>
    <s v="proth"/>
    <s v="1x"/>
    <n v="8.16"/>
    <n v="13.7"/>
    <n v="39.4"/>
    <n v="8"/>
    <n v="5239.3500000000004"/>
    <n v="4673.82"/>
    <n v="71.92"/>
    <n v="50.21"/>
    <n v="1"/>
  </r>
  <r>
    <x v="0"/>
    <x v="1"/>
    <s v="P3C3"/>
    <x v="1"/>
    <s v="24-P3C3_304"/>
    <n v="304"/>
    <n v="4"/>
    <n v="3"/>
    <n v="4"/>
    <n v="6"/>
    <x v="1"/>
    <s v="B+H"/>
    <s v="proth"/>
    <s v="2x"/>
    <n v="7.72"/>
    <n v="13.8"/>
    <n v="39.9"/>
    <n v="7.56"/>
    <n v="4951.09"/>
    <n v="4416.68"/>
    <n v="71.83"/>
    <n v="49.66"/>
    <n v="0"/>
  </r>
  <r>
    <x v="0"/>
    <x v="1"/>
    <s v="P3C3"/>
    <x v="1"/>
    <s v="24-P3C3_401"/>
    <n v="401"/>
    <n v="1"/>
    <n v="4"/>
    <n v="1"/>
    <n v="3"/>
    <x v="1"/>
    <s v="B"/>
    <s v="proth"/>
    <s v="2x"/>
    <n v="7.64"/>
    <n v="13.9"/>
    <n v="38.799999999999997"/>
    <n v="7.48"/>
    <n v="4894.1000000000004"/>
    <n v="4365.84"/>
    <n v="70.430000000000007"/>
    <n v="48.99"/>
    <n v="1"/>
  </r>
  <r>
    <x v="0"/>
    <x v="1"/>
    <s v="P3C3"/>
    <x v="1"/>
    <s v="24-P3C3_402"/>
    <n v="402"/>
    <n v="2"/>
    <n v="4"/>
    <n v="2"/>
    <n v="5"/>
    <x v="1"/>
    <s v="B+H"/>
    <s v="proth"/>
    <s v="1x"/>
    <n v="8.19"/>
    <n v="13.6"/>
    <n v="39.799999999999997"/>
    <n v="8.0399999999999991"/>
    <n v="5264.71"/>
    <n v="4696.4399999999996"/>
    <n v="71.55"/>
    <n v="50.93"/>
    <n v="0"/>
  </r>
  <r>
    <x v="0"/>
    <x v="1"/>
    <s v="P3C3"/>
    <x v="1"/>
    <s v="24-P3C3_403"/>
    <n v="403"/>
    <n v="3"/>
    <n v="4"/>
    <n v="3"/>
    <n v="3"/>
    <x v="1"/>
    <s v="B"/>
    <s v="proth"/>
    <s v="2x"/>
    <n v="8.36"/>
    <n v="13.8"/>
    <n v="38.299999999999997"/>
    <n v="8.19"/>
    <n v="5361.55"/>
    <n v="4782.82"/>
    <n v="71.86"/>
    <n v="50.79"/>
    <n v="1"/>
  </r>
  <r>
    <x v="0"/>
    <x v="1"/>
    <s v="P3C3"/>
    <x v="1"/>
    <s v="24-P3C3_404"/>
    <n v="404"/>
    <n v="4"/>
    <n v="4"/>
    <n v="4"/>
    <n v="1"/>
    <x v="1"/>
    <s v="UTC"/>
    <s v="UTC"/>
    <s v="UTC"/>
    <n v="7.82"/>
    <n v="13.8"/>
    <n v="40.1"/>
    <n v="7.66"/>
    <n v="5015.2299999999996"/>
    <n v="4473.8900000000003"/>
    <n v="71.290000000000006"/>
    <n v="50.96"/>
    <n v="1"/>
  </r>
  <r>
    <x v="0"/>
    <x v="1"/>
    <s v="P3C3"/>
    <x v="1"/>
    <s v="24-P3C3_501"/>
    <n v="501"/>
    <n v="1"/>
    <n v="5"/>
    <n v="1"/>
    <n v="2"/>
    <x v="1"/>
    <s v="B"/>
    <s v="proth"/>
    <s v="1x"/>
    <n v="8.39"/>
    <n v="13.8"/>
    <n v="39"/>
    <n v="8.2200000000000006"/>
    <n v="5380.79"/>
    <n v="4799.99"/>
    <n v="71.790000000000006"/>
    <n v="50.32"/>
    <n v="0"/>
  </r>
  <r>
    <x v="0"/>
    <x v="1"/>
    <s v="P3C3"/>
    <x v="1"/>
    <s v="24-P3C3_502"/>
    <n v="502"/>
    <n v="2"/>
    <n v="5"/>
    <n v="2"/>
    <n v="2"/>
    <x v="1"/>
    <s v="B"/>
    <s v="proth"/>
    <s v="1x"/>
    <n v="8.5500000000000007"/>
    <n v="13.8"/>
    <n v="39.4"/>
    <n v="8.3800000000000008"/>
    <n v="5483.4"/>
    <n v="4891.53"/>
    <n v="71.5"/>
    <n v="50.59"/>
    <n v="1"/>
  </r>
  <r>
    <x v="0"/>
    <x v="1"/>
    <s v="P3C3"/>
    <x v="1"/>
    <s v="24-P3C3_503"/>
    <n v="503"/>
    <n v="3"/>
    <n v="5"/>
    <n v="3"/>
    <n v="1"/>
    <x v="1"/>
    <s v="UTC"/>
    <s v="UTC"/>
    <s v="UTC"/>
    <n v="8"/>
    <n v="13.5"/>
    <n v="37.799999999999997"/>
    <n v="7.86"/>
    <n v="5148.5200000000004"/>
    <n v="4592.79"/>
    <n v="70.77"/>
    <n v="49.65"/>
    <n v="2"/>
  </r>
  <r>
    <x v="0"/>
    <x v="1"/>
    <s v="P3C3"/>
    <x v="1"/>
    <s v="24-P3C3_504"/>
    <n v="504"/>
    <n v="4"/>
    <n v="5"/>
    <n v="4"/>
    <n v="4"/>
    <x v="1"/>
    <s v="B"/>
    <s v="proth"/>
    <s v="4x"/>
    <n v="8.61"/>
    <n v="13.8"/>
    <n v="39.299999999999997"/>
    <n v="8.43"/>
    <n v="5521.88"/>
    <n v="4925.8500000000004"/>
    <n v="71.37"/>
    <n v="50.19"/>
    <n v="1"/>
  </r>
  <r>
    <x v="0"/>
    <x v="1"/>
    <s v="P3C3"/>
    <x v="1"/>
    <s v="24-P3C3_601"/>
    <n v="601"/>
    <n v="1"/>
    <n v="6"/>
    <n v="1"/>
    <n v="4"/>
    <x v="1"/>
    <s v="B"/>
    <s v="proth"/>
    <s v="4x"/>
    <n v="8.98"/>
    <n v="14.5"/>
    <n v="40.5"/>
    <n v="8.7200000000000006"/>
    <n v="5712.4"/>
    <n v="5095.8100000000004"/>
    <n v="72.040000000000006"/>
    <n v="49.72"/>
    <n v="2"/>
  </r>
  <r>
    <x v="0"/>
    <x v="1"/>
    <s v="P3C3"/>
    <x v="1"/>
    <s v="24-P3C3_602"/>
    <n v="602"/>
    <n v="2"/>
    <n v="6"/>
    <n v="2"/>
    <n v="1"/>
    <x v="1"/>
    <s v="UTC"/>
    <s v="UTC"/>
    <s v="UTC"/>
    <n v="7.95"/>
    <n v="14"/>
    <n v="40.299999999999997"/>
    <n v="7.77"/>
    <n v="5086.7700000000004"/>
    <n v="4537.71"/>
    <n v="70.5"/>
    <n v="49.75"/>
    <n v="1"/>
  </r>
  <r>
    <x v="0"/>
    <x v="1"/>
    <s v="P3C3"/>
    <x v="1"/>
    <s v="24-P3C3_603"/>
    <n v="603"/>
    <n v="3"/>
    <n v="6"/>
    <n v="3"/>
    <n v="4"/>
    <x v="1"/>
    <s v="B"/>
    <s v="proth"/>
    <s v="4x"/>
    <n v="8.69"/>
    <n v="13.5"/>
    <n v="37.700000000000003"/>
    <n v="8.5399999999999991"/>
    <n v="5592.58"/>
    <n v="4988.92"/>
    <n v="71.650000000000006"/>
    <n v="50.7"/>
    <n v="1"/>
  </r>
  <r>
    <x v="0"/>
    <x v="1"/>
    <s v="P3C3"/>
    <x v="1"/>
    <s v="24-P3C3_604"/>
    <n v="604"/>
    <n v="4"/>
    <n v="6"/>
    <n v="4"/>
    <n v="3"/>
    <x v="1"/>
    <s v="B"/>
    <s v="proth"/>
    <s v="2x"/>
    <n v="9.39"/>
    <n v="13.7"/>
    <n v="40.299999999999997"/>
    <n v="9.2100000000000009"/>
    <n v="6029.11"/>
    <n v="5378.33"/>
    <n v="70.349999999999994"/>
    <n v="47.7"/>
    <n v="0"/>
  </r>
  <r>
    <x v="0"/>
    <x v="2"/>
    <s v="P4C3"/>
    <x v="2"/>
    <s v="24-P4C3_101"/>
    <n v="101"/>
    <n v="1"/>
    <n v="1"/>
    <n v="1"/>
    <n v="5"/>
    <x v="1"/>
    <s v="B+H"/>
    <s v="proth"/>
    <s v="1x"/>
    <n v="9.1300000000000008"/>
    <n v="13.9"/>
    <n v="43.6"/>
    <n v="8.932875000000001"/>
    <n v="701.82962906192517"/>
    <n v="5955.8604130000003"/>
    <n v="73.8"/>
    <n v="51.97"/>
    <n v="5"/>
  </r>
  <r>
    <x v="0"/>
    <x v="2"/>
    <s v="P4C3"/>
    <x v="2"/>
    <s v="24-P4C3_102"/>
    <n v="102"/>
    <n v="2"/>
    <n v="1"/>
    <n v="1"/>
    <n v="6"/>
    <x v="1"/>
    <s v="B+H"/>
    <s v="proth"/>
    <s v="2x"/>
    <n v="9.4700000000000006"/>
    <n v="13.4"/>
    <n v="43.8"/>
    <n v="9.3193409090909096"/>
    <n v="732.19311513134312"/>
    <n v="6213.530761"/>
    <n v="73.95"/>
    <n v="50.17"/>
    <n v="6"/>
  </r>
  <r>
    <x v="0"/>
    <x v="2"/>
    <s v="P4C3"/>
    <x v="2"/>
    <s v="24-P4C3_103"/>
    <n v="103"/>
    <n v="3"/>
    <n v="1"/>
    <n v="1"/>
    <n v="2"/>
    <x v="1"/>
    <s v="B"/>
    <s v="proth"/>
    <s v="1x"/>
    <n v="9.33"/>
    <n v="17"/>
    <n v="42"/>
    <n v="8.7998863636363645"/>
    <n v="691.38110433404734"/>
    <n v="5867.1922350000004"/>
    <n v="75.010000000000005"/>
    <n v="54.23"/>
    <n v="4"/>
  </r>
  <r>
    <x v="0"/>
    <x v="2"/>
    <s v="P4C3"/>
    <x v="2"/>
    <s v="24-P4C3_104"/>
    <n v="104"/>
    <n v="4"/>
    <n v="1"/>
    <n v="2"/>
    <n v="6"/>
    <x v="1"/>
    <s v="B+H"/>
    <s v="proth"/>
    <s v="2x"/>
    <n v="9.61"/>
    <n v="13.8"/>
    <n v="43.6"/>
    <n v="9.4134318181818166"/>
    <n v="739.5855602092571"/>
    <n v="6276.2644630000004"/>
    <n v="75.040000000000006"/>
    <n v="52.16"/>
    <n v="5"/>
  </r>
  <r>
    <x v="0"/>
    <x v="2"/>
    <s v="P4C3"/>
    <x v="2"/>
    <s v="24-P4C3_105"/>
    <n v="105"/>
    <n v="5"/>
    <n v="1"/>
    <n v="2"/>
    <n v="4"/>
    <x v="1"/>
    <s v="B"/>
    <s v="proth"/>
    <s v="4x"/>
    <n v="9.84"/>
    <n v="16.600000000000001"/>
    <n v="42.2"/>
    <n v="9.3256363636363631"/>
    <n v="732.68773041795725"/>
    <n v="6217.728161"/>
    <n v="74.95"/>
    <n v="53.48"/>
    <n v="3"/>
  </r>
  <r>
    <x v="0"/>
    <x v="2"/>
    <s v="P4C3"/>
    <x v="2"/>
    <s v="24-P4C3_106"/>
    <n v="106"/>
    <n v="6"/>
    <n v="1"/>
    <n v="2"/>
    <n v="2"/>
    <x v="1"/>
    <s v="B"/>
    <s v="proth"/>
    <s v="1x"/>
    <n v="10.63"/>
    <n v="13.7"/>
    <n v="43.8"/>
    <n v="10.424647727272728"/>
    <n v="819.03381022717315"/>
    <n v="6950.4775019999997"/>
    <n v="75.73"/>
    <n v="56.56"/>
    <n v="4"/>
  </r>
  <r>
    <x v="0"/>
    <x v="2"/>
    <s v="P4C3"/>
    <x v="2"/>
    <s v="24-P4C3_107"/>
    <n v="107"/>
    <n v="7"/>
    <n v="1"/>
    <n v="3"/>
    <n v="2"/>
    <x v="1"/>
    <s v="B"/>
    <s v="proth"/>
    <s v="1x"/>
    <n v="9.3000000000000007"/>
    <n v="15.8"/>
    <n v="42.4"/>
    <n v="8.8984090909090909"/>
    <n v="699.12174428881974"/>
    <n v="5932.8807850000003"/>
    <n v="74.8"/>
    <n v="54.13"/>
    <n v="3"/>
  </r>
  <r>
    <x v="0"/>
    <x v="2"/>
    <s v="P4C3"/>
    <x v="2"/>
    <s v="24-P4C3_108"/>
    <n v="108"/>
    <n v="8"/>
    <n v="1"/>
    <n v="3"/>
    <n v="5"/>
    <x v="1"/>
    <s v="B+H"/>
    <s v="proth"/>
    <s v="1x"/>
    <n v="9.7200000000000006"/>
    <n v="13.8"/>
    <n v="43.9"/>
    <n v="9.5211818181818195"/>
    <n v="748.05115975379613"/>
    <n v="6348.1051600000001"/>
    <n v="75.94"/>
    <n v="57.65"/>
    <n v="4"/>
  </r>
  <r>
    <x v="0"/>
    <x v="2"/>
    <s v="P4C3"/>
    <x v="2"/>
    <s v="24-P4C3_109"/>
    <n v="109"/>
    <n v="9"/>
    <n v="1"/>
    <n v="3"/>
    <n v="1"/>
    <x v="1"/>
    <s v="UTC"/>
    <s v="UTC"/>
    <s v="UTC"/>
    <n v="8.36"/>
    <n v="12.4"/>
    <n v="44.4"/>
    <n v="8.3219999999999992"/>
    <n v="653.83498292020647"/>
    <n v="5548.5686699999997"/>
    <n v="74.81"/>
    <n v="51.5"/>
    <n v="4"/>
  </r>
  <r>
    <x v="0"/>
    <x v="2"/>
    <s v="P4C3"/>
    <x v="2"/>
    <s v="24-P4C3_201"/>
    <n v="201"/>
    <n v="1"/>
    <n v="2"/>
    <n v="1"/>
    <n v="1"/>
    <x v="1"/>
    <s v="UTC"/>
    <s v="UTC"/>
    <s v="UTC"/>
    <n v="9.75"/>
    <n v="13.3"/>
    <n v="44"/>
    <n v="9.6059659090909104"/>
    <n v="754.71239559030789"/>
    <n v="6404.6336799999999"/>
    <n v="75.63"/>
    <n v="57.23"/>
    <n v="5"/>
  </r>
  <r>
    <x v="0"/>
    <x v="2"/>
    <s v="P4C3"/>
    <x v="2"/>
    <s v="24-P4C3_202"/>
    <n v="202"/>
    <n v="2"/>
    <n v="2"/>
    <n v="1"/>
    <n v="3"/>
    <x v="1"/>
    <s v="B"/>
    <s v="proth"/>
    <s v="2x"/>
    <n v="9.89"/>
    <n v="13.8"/>
    <n v="43.7"/>
    <n v="9.6877045454545456"/>
    <n v="761.1343590499016"/>
    <n v="6459.1316900000002"/>
    <n v="75.709999999999994"/>
    <n v="55.62"/>
    <n v="4"/>
  </r>
  <r>
    <x v="0"/>
    <x v="2"/>
    <s v="P4C3"/>
    <x v="2"/>
    <s v="24-P4C3_203"/>
    <n v="203"/>
    <n v="3"/>
    <n v="2"/>
    <n v="1"/>
    <n v="4"/>
    <x v="1"/>
    <s v="B"/>
    <s v="proth"/>
    <s v="4x"/>
    <n v="9.14"/>
    <n v="14.7"/>
    <n v="43.1"/>
    <n v="8.8595681818181813"/>
    <n v="696.0701286757386"/>
    <n v="5906.9841919999999"/>
    <n v="75.27"/>
    <n v="52.95"/>
    <n v="5"/>
  </r>
  <r>
    <x v="0"/>
    <x v="2"/>
    <s v="P4C3"/>
    <x v="2"/>
    <s v="24-P4C3_204"/>
    <n v="204"/>
    <n v="4"/>
    <n v="2"/>
    <n v="2"/>
    <n v="3"/>
    <x v="1"/>
    <s v="B"/>
    <s v="proth"/>
    <s v="2x"/>
    <n v="8.6999999999999993"/>
    <n v="13.6"/>
    <n v="43.8"/>
    <n v="8.5418181818181811"/>
    <n v="671.10544881237684"/>
    <n v="5695.1291449999999"/>
    <n v="75.86"/>
    <n v="52.87"/>
    <n v="5"/>
  </r>
  <r>
    <x v="0"/>
    <x v="2"/>
    <s v="P4C3"/>
    <x v="2"/>
    <s v="24-P4C3_205"/>
    <n v="205"/>
    <n v="5"/>
    <n v="2"/>
    <n v="2"/>
    <n v="5"/>
    <x v="1"/>
    <s v="B+H"/>
    <s v="proth"/>
    <s v="1x"/>
    <n v="9.34"/>
    <n v="14"/>
    <n v="43.6"/>
    <n v="9.127727272727272"/>
    <n v="717.1385971477938"/>
    <n v="6085.775243"/>
    <n v="76.180000000000007"/>
    <n v="55.55"/>
    <n v="4"/>
  </r>
  <r>
    <x v="0"/>
    <x v="2"/>
    <s v="P4C3"/>
    <x v="2"/>
    <s v="24-P4C3_206"/>
    <n v="206"/>
    <n v="6"/>
    <n v="2"/>
    <n v="2"/>
    <n v="1"/>
    <x v="1"/>
    <s v="UTC"/>
    <s v="UTC"/>
    <s v="UTC"/>
    <n v="10.29"/>
    <n v="15.5"/>
    <n v="42.7"/>
    <n v="9.8807386363636347"/>
    <n v="776.30047795552071"/>
    <n v="6587.8342750000002"/>
    <n v="76.33"/>
    <n v="56.73"/>
    <n v="6"/>
  </r>
  <r>
    <x v="0"/>
    <x v="2"/>
    <s v="P4C3"/>
    <x v="2"/>
    <s v="24-P4C3_207"/>
    <n v="207"/>
    <n v="7"/>
    <n v="2"/>
    <n v="3"/>
    <n v="6"/>
    <x v="1"/>
    <s v="B+H"/>
    <s v="proth"/>
    <s v="2x"/>
    <n v="9.0500000000000007"/>
    <n v="13.3"/>
    <n v="44.1"/>
    <n v="8.9163068181818179"/>
    <n v="700.52791590690094"/>
    <n v="5944.8138259999996"/>
    <n v="75.900000000000006"/>
    <n v="56.18"/>
    <n v="4"/>
  </r>
  <r>
    <x v="0"/>
    <x v="2"/>
    <s v="P4C3"/>
    <x v="2"/>
    <s v="24-P4C3_208"/>
    <n v="208"/>
    <n v="8"/>
    <n v="2"/>
    <n v="3"/>
    <n v="3"/>
    <x v="1"/>
    <s v="B"/>
    <s v="proth"/>
    <s v="2x"/>
    <n v="10.199999999999999"/>
    <n v="14.6"/>
    <n v="43.3"/>
    <n v="9.8986363636363617"/>
    <n v="777.70664957360214"/>
    <n v="6599.7673160000004"/>
    <s v="NA"/>
    <s v="NA"/>
    <n v="6"/>
  </r>
  <r>
    <x v="0"/>
    <x v="2"/>
    <s v="P4C3"/>
    <x v="2"/>
    <s v="24-P4C3_209"/>
    <n v="209"/>
    <n v="9"/>
    <n v="2"/>
    <n v="3"/>
    <n v="4"/>
    <x v="1"/>
    <s v="B"/>
    <s v="proth"/>
    <s v="4x"/>
    <n v="9.73"/>
    <n v="13.1"/>
    <n v="44.2"/>
    <n v="9.6083750000000006"/>
    <n v="754.90167075413842"/>
    <n v="6406.2399059999998"/>
    <n v="75.94"/>
    <n v="55.49"/>
    <n v="5"/>
  </r>
  <r>
    <x v="0"/>
    <x v="3"/>
    <s v="P5C1"/>
    <x v="3"/>
    <s v="24-P5C3_101"/>
    <n v="101"/>
    <n v="1"/>
    <n v="1"/>
    <n v="1"/>
    <n v="1"/>
    <x v="0"/>
    <s v="UTC"/>
    <s v="UTC"/>
    <s v="UTC"/>
    <n v="22.04"/>
    <n v="12.7"/>
    <n v="44"/>
    <n v="21.864681818181818"/>
    <n v="1717.8435307794593"/>
    <n v="1532.4206340583937"/>
    <n v="66.989999999999995"/>
    <n v="50.44"/>
    <s v="NA"/>
  </r>
  <r>
    <x v="0"/>
    <x v="3"/>
    <s v="P5C1"/>
    <x v="3"/>
    <s v="24-P5C3_102"/>
    <n v="102"/>
    <n v="2"/>
    <n v="1"/>
    <n v="1"/>
    <n v="2"/>
    <x v="0"/>
    <s v="B"/>
    <s v="proth"/>
    <s v="1x"/>
    <n v="20.85"/>
    <n v="12.5"/>
    <n v="43.9"/>
    <n v="20.731534090909093"/>
    <n v="1628.8154576110585"/>
    <n v="1453.0021923381432"/>
    <n v="71.77"/>
    <n v="52.59"/>
    <s v="NA"/>
  </r>
  <r>
    <x v="0"/>
    <x v="3"/>
    <s v="P5C1"/>
    <x v="3"/>
    <s v="24-P5C3_103"/>
    <n v="103"/>
    <n v="3"/>
    <n v="1"/>
    <n v="1"/>
    <n v="3"/>
    <x v="0"/>
    <s v="B"/>
    <s v="proth"/>
    <s v="2x"/>
    <n v="20.62"/>
    <n v="12.7"/>
    <n v="44.5"/>
    <n v="20.455977272727274"/>
    <n v="1607.1657715368626"/>
    <n v="1433.6893590872994"/>
    <n v="72.08"/>
    <n v="52.54"/>
    <s v="NA"/>
  </r>
  <r>
    <x v="0"/>
    <x v="3"/>
    <s v="P5C1"/>
    <x v="3"/>
    <s v="24-P5C3_104"/>
    <n v="104"/>
    <n v="4"/>
    <n v="1"/>
    <n v="1"/>
    <n v="4"/>
    <x v="0"/>
    <s v="B"/>
    <s v="proth"/>
    <s v="4x"/>
    <n v="19.91"/>
    <n v="12.9"/>
    <n v="44.8"/>
    <n v="19.706374999999998"/>
    <n v="1548.2717329421034"/>
    <n v="1381.1523041410378"/>
    <n v="71.75"/>
    <n v="51.28"/>
    <s v="NA"/>
  </r>
  <r>
    <x v="0"/>
    <x v="3"/>
    <s v="P5C1"/>
    <x v="3"/>
    <s v="24-P5C3_105"/>
    <n v="105"/>
    <n v="5"/>
    <n v="1"/>
    <n v="1"/>
    <n v="5"/>
    <x v="0"/>
    <s v="B+H"/>
    <s v="proth"/>
    <s v="1x"/>
    <n v="21.12"/>
    <n v="12.6"/>
    <n v="47.5"/>
    <n v="20.975999999999999"/>
    <n v="1648.0224227029867"/>
    <n v="1470.1359702970442"/>
    <n v="70.77"/>
    <n v="46.2"/>
    <s v="NA"/>
  </r>
  <r>
    <x v="0"/>
    <x v="3"/>
    <s v="P5C1"/>
    <x v="3"/>
    <s v="24-P5C3_106"/>
    <n v="106"/>
    <n v="6"/>
    <n v="1"/>
    <n v="1"/>
    <n v="6"/>
    <x v="0"/>
    <s v="B+H"/>
    <s v="proth"/>
    <s v="2x"/>
    <n v="20.75"/>
    <n v="12.2"/>
    <n v="43.3"/>
    <n v="20.702840909090909"/>
    <n v="1626.561118985245"/>
    <n v="1450.9911855354549"/>
    <n v="70.099999999999994"/>
    <n v="47.09"/>
    <s v="NA"/>
  </r>
  <r>
    <x v="0"/>
    <x v="3"/>
    <s v="P5C1"/>
    <x v="3"/>
    <s v="24-P5C3_201"/>
    <n v="201"/>
    <n v="1"/>
    <n v="2"/>
    <n v="2"/>
    <n v="2"/>
    <x v="0"/>
    <s v="B"/>
    <s v="proth"/>
    <s v="1x"/>
    <n v="16.559999999999999"/>
    <n v="12.9"/>
    <n v="43.8"/>
    <n v="16.390636363636364"/>
    <n v="1287.7639325726389"/>
    <n v="1148.7635437757706"/>
    <n v="71.209999999999994"/>
    <n v="52.59"/>
    <s v="NA"/>
  </r>
  <r>
    <x v="0"/>
    <x v="3"/>
    <s v="P5C1"/>
    <x v="3"/>
    <s v="24-P5C3_202"/>
    <n v="202"/>
    <n v="2"/>
    <n v="2"/>
    <n v="2"/>
    <n v="3"/>
    <x v="0"/>
    <s v="B"/>
    <s v="proth"/>
    <s v="2x"/>
    <n v="16.88"/>
    <n v="12.8"/>
    <n v="44.3"/>
    <n v="16.726545454545452"/>
    <n v="1314.1553186237427"/>
    <n v="1172.3062610381292"/>
    <n v="71.44"/>
    <n v="52.43"/>
    <s v="NA"/>
  </r>
  <r>
    <x v="0"/>
    <x v="3"/>
    <s v="P5C1"/>
    <x v="3"/>
    <s v="24-P5C3_203"/>
    <n v="203"/>
    <n v="3"/>
    <n v="2"/>
    <n v="2"/>
    <n v="4"/>
    <x v="0"/>
    <s v="B"/>
    <s v="proth"/>
    <s v="4x"/>
    <n v="15.54"/>
    <n v="12.4"/>
    <n v="44"/>
    <n v="15.469363636363637"/>
    <n v="1215.382252940193"/>
    <n v="1084.1946948619027"/>
    <n v="71.430000000000007"/>
    <n v="50.02"/>
    <s v="NA"/>
  </r>
  <r>
    <x v="0"/>
    <x v="3"/>
    <s v="P5C1"/>
    <x v="3"/>
    <s v="24-P5C3_204"/>
    <n v="204"/>
    <n v="4"/>
    <n v="2"/>
    <n v="2"/>
    <n v="6"/>
    <x v="0"/>
    <s v="B+H"/>
    <s v="proth"/>
    <s v="2x"/>
    <n v="17.260000000000002"/>
    <n v="13.4"/>
    <n v="44.6"/>
    <n v="16.985409090909094"/>
    <n v="1334.4934706617726"/>
    <n v="1190.4491263708944"/>
    <n v="71.7"/>
    <n v="51.83"/>
    <s v="NA"/>
  </r>
  <r>
    <x v="0"/>
    <x v="3"/>
    <s v="P5C1"/>
    <x v="3"/>
    <s v="24-P5C3_205"/>
    <n v="205"/>
    <n v="5"/>
    <n v="2"/>
    <n v="2"/>
    <n v="1"/>
    <x v="0"/>
    <s v="UTC"/>
    <s v="UTC"/>
    <s v="UTC"/>
    <n v="18.37"/>
    <n v="12"/>
    <n v="43.8"/>
    <n v="18.37"/>
    <n v="1443.2766926513093"/>
    <n v="1287.4903591893928"/>
    <n v="71.36"/>
    <n v="49.83"/>
    <s v="NA"/>
  </r>
  <r>
    <x v="0"/>
    <x v="3"/>
    <s v="P5C1"/>
    <x v="3"/>
    <s v="24-P5C3_206"/>
    <n v="206"/>
    <n v="6"/>
    <n v="2"/>
    <n v="2"/>
    <n v="5"/>
    <x v="0"/>
    <s v="B+H"/>
    <s v="proth"/>
    <s v="1x"/>
    <n v="18.05"/>
    <n v="12.2"/>
    <n v="44.5"/>
    <n v="18.008977272727275"/>
    <n v="1414.9122022980087"/>
    <n v="1262.1875132007215"/>
    <n v="70.75"/>
    <n v="47.62"/>
    <s v="NA"/>
  </r>
  <r>
    <x v="0"/>
    <x v="3"/>
    <s v="P5C1"/>
    <x v="3"/>
    <s v="24-P5C3_301"/>
    <n v="301"/>
    <n v="1"/>
    <n v="3"/>
    <n v="3"/>
    <n v="4"/>
    <x v="0"/>
    <s v="B"/>
    <s v="proth"/>
    <s v="4x"/>
    <n v="19.12"/>
    <n v="12.5"/>
    <n v="44.7"/>
    <n v="19.011363636363637"/>
    <n v="1493.6667409843371"/>
    <n v="1332.4413389690787"/>
    <n v="71.930000000000007"/>
    <n v="52.86"/>
    <s v="NA"/>
  </r>
  <r>
    <x v="0"/>
    <x v="3"/>
    <s v="P5C1"/>
    <x v="3"/>
    <s v="24-P5C3_302"/>
    <n v="302"/>
    <n v="2"/>
    <n v="3"/>
    <n v="3"/>
    <n v="6"/>
    <x v="0"/>
    <s v="B+H"/>
    <s v="proth"/>
    <s v="2x"/>
    <n v="18.71"/>
    <n v="13"/>
    <n v="44.4"/>
    <n v="18.497386363636362"/>
    <n v="1453.285063342543"/>
    <n v="1296.4184329549894"/>
    <n v="70.86"/>
    <n v="49.55"/>
    <s v="NA"/>
  </r>
  <r>
    <x v="0"/>
    <x v="3"/>
    <s v="P5C1"/>
    <x v="3"/>
    <s v="24-P5C3_303"/>
    <n v="303"/>
    <n v="3"/>
    <n v="3"/>
    <n v="3"/>
    <n v="1"/>
    <x v="0"/>
    <s v="UTC"/>
    <s v="UTC"/>
    <s v="UTC"/>
    <n v="19.12"/>
    <n v="12.1"/>
    <n v="45.4"/>
    <n v="19.098272727272729"/>
    <n v="1500.4949318002659"/>
    <n v="1338.5324993757947"/>
    <n v="70.7"/>
    <n v="46.36"/>
    <s v="NA"/>
  </r>
  <r>
    <x v="0"/>
    <x v="3"/>
    <s v="P5C1"/>
    <x v="3"/>
    <s v="24-P5C3_304"/>
    <n v="304"/>
    <n v="4"/>
    <n v="3"/>
    <n v="3"/>
    <n v="5"/>
    <x v="0"/>
    <s v="B+H"/>
    <s v="proth"/>
    <s v="1x"/>
    <n v="17.899999999999999"/>
    <n v="12.4"/>
    <n v="46.2"/>
    <n v="17.818636363636362"/>
    <n v="1399.9576787406336"/>
    <n v="1248.8471710442761"/>
    <n v="71.14"/>
    <n v="46.99"/>
    <s v="NA"/>
  </r>
  <r>
    <x v="0"/>
    <x v="3"/>
    <s v="P5C1"/>
    <x v="3"/>
    <s v="24-P5C3_305"/>
    <n v="305"/>
    <n v="5"/>
    <n v="3"/>
    <n v="3"/>
    <n v="3"/>
    <x v="0"/>
    <s v="B"/>
    <s v="proth"/>
    <s v="2x"/>
    <n v="18.3"/>
    <n v="12"/>
    <n v="44.6"/>
    <n v="18.3"/>
    <n v="1437.7769992117019"/>
    <n v="1282.5842990291721"/>
    <n v="70.959999999999994"/>
    <n v="44.83"/>
    <s v="NA"/>
  </r>
  <r>
    <x v="0"/>
    <x v="3"/>
    <s v="P5C1"/>
    <x v="3"/>
    <s v="24-P5C3_306"/>
    <n v="306"/>
    <n v="6"/>
    <n v="3"/>
    <n v="3"/>
    <n v="2"/>
    <x v="0"/>
    <s v="B"/>
    <s v="proth"/>
    <s v="1x"/>
    <n v="18.86"/>
    <n v="11.8"/>
    <n v="44.3"/>
    <n v="18.902863636363634"/>
    <n v="1485.1422161529454"/>
    <n v="1324.8369457207364"/>
    <n v="70.709999999999994"/>
    <n v="45.42"/>
    <s v="NA"/>
  </r>
  <r>
    <x v="0"/>
    <x v="3"/>
    <s v="P5C1"/>
    <x v="3"/>
    <s v="24-P5C3_401"/>
    <n v="401"/>
    <n v="1"/>
    <n v="4"/>
    <n v="4"/>
    <n v="2"/>
    <x v="0"/>
    <s v="B"/>
    <s v="proth"/>
    <s v="1x"/>
    <n v="19.84"/>
    <n v="12.3"/>
    <n v="44.6"/>
    <n v="19.772363636363636"/>
    <n v="1553.4562653777857"/>
    <n v="1385.7772215680516"/>
    <n v="71.2"/>
    <n v="50.92"/>
    <s v="NA"/>
  </r>
  <r>
    <x v="0"/>
    <x v="3"/>
    <s v="P5C1"/>
    <x v="3"/>
    <s v="24-P5C3_402"/>
    <n v="402"/>
    <n v="2"/>
    <n v="4"/>
    <n v="4"/>
    <n v="4"/>
    <x v="0"/>
    <s v="B"/>
    <s v="proth"/>
    <s v="4x"/>
    <n v="20.51"/>
    <n v="12.7"/>
    <n v="44.3"/>
    <n v="20.346852272727276"/>
    <n v="1598.5921422997606"/>
    <n v="1426.0411617303841"/>
    <n v="71.790000000000006"/>
    <n v="54.14"/>
    <s v="NA"/>
  </r>
  <r>
    <x v="0"/>
    <x v="3"/>
    <s v="P5C1"/>
    <x v="3"/>
    <s v="24-P5C3_403"/>
    <n v="403"/>
    <n v="3"/>
    <n v="4"/>
    <n v="4"/>
    <n v="5"/>
    <x v="0"/>
    <s v="B+H"/>
    <s v="proth"/>
    <s v="1x"/>
    <n v="19.48"/>
    <n v="13"/>
    <n v="44.1"/>
    <n v="19.258636363636366"/>
    <n v="1513.0942294982763"/>
    <n v="1349.771837197392"/>
    <n v="71.19"/>
    <n v="50.34"/>
    <s v="NA"/>
  </r>
  <r>
    <x v="0"/>
    <x v="3"/>
    <s v="P5C1"/>
    <x v="3"/>
    <s v="24-P5C3_404"/>
    <n v="404"/>
    <n v="4"/>
    <n v="4"/>
    <n v="4"/>
    <n v="3"/>
    <x v="0"/>
    <s v="B"/>
    <s v="proth"/>
    <s v="2x"/>
    <n v="19.510000000000002"/>
    <n v="12.9"/>
    <n v="44.6"/>
    <n v="19.310465909090912"/>
    <n v="1517.1663239427648"/>
    <n v="1353.4043924556333"/>
    <n v="71.98"/>
    <n v="51.96"/>
    <s v="NA"/>
  </r>
  <r>
    <x v="0"/>
    <x v="3"/>
    <s v="P5C1"/>
    <x v="3"/>
    <s v="24-P5C3_405"/>
    <n v="405"/>
    <n v="5"/>
    <n v="4"/>
    <n v="4"/>
    <n v="6"/>
    <x v="0"/>
    <s v="B+H"/>
    <s v="proth"/>
    <s v="2x"/>
    <n v="18.54"/>
    <n v="12.6"/>
    <n v="44.8"/>
    <n v="18.413590909090907"/>
    <n v="1446.7015017477918"/>
    <n v="1290.5454966528027"/>
    <n v="71.069999999999993"/>
    <n v="46"/>
    <s v="NA"/>
  </r>
  <r>
    <x v="0"/>
    <x v="3"/>
    <s v="P5C1"/>
    <x v="3"/>
    <s v="24-P5C3_406"/>
    <n v="406"/>
    <n v="6"/>
    <n v="4"/>
    <n v="4"/>
    <n v="1"/>
    <x v="0"/>
    <s v="UTC"/>
    <s v="UTC"/>
    <s v="UTC"/>
    <n v="20.99"/>
    <n v="12"/>
    <n v="44.5"/>
    <n v="20.99"/>
    <n v="1649.1223613909081"/>
    <n v="1471.1171823290883"/>
    <n v="71.040000000000006"/>
    <n v="47.78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4FA95-3B80-4899-AF9E-EB3EBA84DE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" firstHeaderRow="1" firstDataRow="1" firstDataCol="1"/>
  <pivotFields count="23">
    <pivotField axis="axisRow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0"/>
    <field x="3"/>
    <field x="1"/>
    <field x="10"/>
  </rowFields>
  <rowItems count="14">
    <i>
      <x/>
    </i>
    <i r="1">
      <x/>
    </i>
    <i r="2">
      <x v="2"/>
    </i>
    <i r="3">
      <x/>
    </i>
    <i r="1">
      <x v="1"/>
    </i>
    <i r="2">
      <x/>
    </i>
    <i r="3">
      <x v="1"/>
    </i>
    <i r="1">
      <x v="2"/>
    </i>
    <i r="2">
      <x v="1"/>
    </i>
    <i r="3">
      <x/>
    </i>
    <i r="1">
      <x v="3"/>
    </i>
    <i r="2">
      <x v="3"/>
    </i>
    <i r="3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E9B4-259E-406A-B213-11C265526BE0}">
  <dimension ref="A3:A17"/>
  <sheetViews>
    <sheetView zoomScale="80" zoomScaleNormal="80" workbookViewId="0">
      <selection activeCell="A3" sqref="A3"/>
    </sheetView>
  </sheetViews>
  <sheetFormatPr defaultRowHeight="15" x14ac:dyDescent="0.25"/>
  <cols>
    <col min="1" max="1" width="16.85546875" bestFit="1" customWidth="1"/>
  </cols>
  <sheetData>
    <row r="3" spans="1:1" x14ac:dyDescent="0.25">
      <c r="A3" s="14" t="s">
        <v>43</v>
      </c>
    </row>
    <row r="4" spans="1:1" x14ac:dyDescent="0.25">
      <c r="A4" s="15">
        <v>2024</v>
      </c>
    </row>
    <row r="5" spans="1:1" x14ac:dyDescent="0.25">
      <c r="A5" s="16" t="s">
        <v>22</v>
      </c>
    </row>
    <row r="6" spans="1:1" x14ac:dyDescent="0.25">
      <c r="A6" s="17" t="s">
        <v>38</v>
      </c>
    </row>
    <row r="7" spans="1:1" x14ac:dyDescent="0.25">
      <c r="A7" s="18" t="s">
        <v>37</v>
      </c>
    </row>
    <row r="8" spans="1:1" x14ac:dyDescent="0.25">
      <c r="A8" s="16" t="s">
        <v>20</v>
      </c>
    </row>
    <row r="9" spans="1:1" x14ac:dyDescent="0.25">
      <c r="A9" s="17" t="s">
        <v>23</v>
      </c>
    </row>
    <row r="10" spans="1:1" x14ac:dyDescent="0.25">
      <c r="A10" s="18" t="s">
        <v>19</v>
      </c>
    </row>
    <row r="11" spans="1:1" x14ac:dyDescent="0.25">
      <c r="A11" s="16" t="s">
        <v>21</v>
      </c>
    </row>
    <row r="12" spans="1:1" x14ac:dyDescent="0.25">
      <c r="A12" s="17" t="s">
        <v>35</v>
      </c>
    </row>
    <row r="13" spans="1:1" x14ac:dyDescent="0.25">
      <c r="A13" s="18" t="s">
        <v>37</v>
      </c>
    </row>
    <row r="14" spans="1:1" x14ac:dyDescent="0.25">
      <c r="A14" s="16" t="s">
        <v>42</v>
      </c>
    </row>
    <row r="15" spans="1:1" x14ac:dyDescent="0.25">
      <c r="A15" s="17" t="s">
        <v>40</v>
      </c>
    </row>
    <row r="16" spans="1:1" x14ac:dyDescent="0.25">
      <c r="A16" s="18" t="s">
        <v>19</v>
      </c>
    </row>
    <row r="17" spans="1:1" x14ac:dyDescent="0.25">
      <c r="A17" s="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B3F6-F2F2-43FA-B383-9CA99EE1DED7}">
  <dimension ref="A1:W201"/>
  <sheetViews>
    <sheetView tabSelected="1" workbookViewId="0">
      <pane ySplit="1" topLeftCell="A56" activePane="bottomLeft" state="frozen"/>
      <selection pane="bottomLeft" activeCell="Z65" sqref="Z65"/>
    </sheetView>
  </sheetViews>
  <sheetFormatPr defaultColWidth="8.85546875" defaultRowHeight="15" x14ac:dyDescent="0.25"/>
  <cols>
    <col min="1" max="1" width="5" bestFit="1" customWidth="1"/>
    <col min="2" max="2" width="15.140625" bestFit="1" customWidth="1"/>
    <col min="3" max="3" width="12.28515625" bestFit="1" customWidth="1"/>
    <col min="4" max="5" width="5.28515625" bestFit="1" customWidth="1"/>
    <col min="6" max="6" width="4.5703125" bestFit="1" customWidth="1"/>
    <col min="7" max="7" width="3.5703125" bestFit="1" customWidth="1"/>
    <col min="8" max="8" width="4.42578125" bestFit="1" customWidth="1"/>
    <col min="9" max="9" width="3.7109375" bestFit="1" customWidth="1"/>
    <col min="10" max="10" width="3.140625" bestFit="1" customWidth="1"/>
    <col min="11" max="11" width="6.28515625" bestFit="1" customWidth="1"/>
    <col min="12" max="12" width="5.7109375" bestFit="1" customWidth="1"/>
    <col min="13" max="13" width="5.85546875" bestFit="1" customWidth="1"/>
    <col min="14" max="14" width="4.5703125" bestFit="1" customWidth="1"/>
    <col min="15" max="15" width="7.140625" bestFit="1" customWidth="1"/>
    <col min="16" max="16" width="6" bestFit="1" customWidth="1"/>
    <col min="17" max="17" width="5.5703125" bestFit="1" customWidth="1"/>
    <col min="18" max="18" width="10.140625" bestFit="1" customWidth="1"/>
    <col min="19" max="20" width="8" bestFit="1" customWidth="1"/>
    <col min="21" max="21" width="6" bestFit="1" customWidth="1"/>
    <col min="22" max="22" width="6.5703125" bestFit="1" customWidth="1"/>
    <col min="23" max="23" width="5.42578125" style="13" bestFit="1" customWidth="1"/>
  </cols>
  <sheetData>
    <row r="1" spans="1:23" x14ac:dyDescent="0.25">
      <c r="A1" s="1" t="s">
        <v>0</v>
      </c>
      <c r="B1" s="1" t="s">
        <v>45</v>
      </c>
      <c r="C1" s="1" t="s">
        <v>1</v>
      </c>
      <c r="D1" s="11" t="s">
        <v>2</v>
      </c>
      <c r="E1" s="1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25</v>
      </c>
      <c r="N1" s="1" t="s">
        <v>26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1" t="s">
        <v>15</v>
      </c>
      <c r="U1" s="1" t="s">
        <v>16</v>
      </c>
      <c r="V1" s="1" t="s">
        <v>17</v>
      </c>
      <c r="W1" s="11" t="s">
        <v>18</v>
      </c>
    </row>
    <row r="2" spans="1:23" x14ac:dyDescent="0.25">
      <c r="A2" s="2">
        <v>2024</v>
      </c>
      <c r="B2" s="2" t="s">
        <v>46</v>
      </c>
      <c r="C2" s="2" t="s">
        <v>23</v>
      </c>
      <c r="D2" s="2" t="s">
        <v>27</v>
      </c>
      <c r="E2" s="2" t="s">
        <v>20</v>
      </c>
      <c r="F2" s="2">
        <v>101</v>
      </c>
      <c r="G2" s="2">
        <v>1</v>
      </c>
      <c r="H2" s="2">
        <v>1</v>
      </c>
      <c r="I2" s="2">
        <v>1</v>
      </c>
      <c r="J2" s="2">
        <v>5</v>
      </c>
      <c r="K2" s="2" t="s">
        <v>19</v>
      </c>
      <c r="L2" s="5" t="s">
        <v>28</v>
      </c>
      <c r="M2" s="4" t="s">
        <v>29</v>
      </c>
      <c r="N2" s="2" t="s">
        <v>30</v>
      </c>
      <c r="O2" s="2">
        <v>10.33</v>
      </c>
      <c r="P2" s="2">
        <v>17.2</v>
      </c>
      <c r="Q2" s="2">
        <v>43.2</v>
      </c>
      <c r="R2" s="2">
        <v>9.7200000000000006</v>
      </c>
      <c r="S2" s="2">
        <v>6363.66</v>
      </c>
      <c r="T2" s="2">
        <v>5676.77</v>
      </c>
      <c r="U2" s="2">
        <v>70.319999999999993</v>
      </c>
      <c r="V2" s="2">
        <v>51.52</v>
      </c>
      <c r="W2" s="3">
        <v>0</v>
      </c>
    </row>
    <row r="3" spans="1:23" x14ac:dyDescent="0.25">
      <c r="A3" s="2">
        <v>2024</v>
      </c>
      <c r="B3" s="2" t="s">
        <v>46</v>
      </c>
      <c r="C3" s="2" t="s">
        <v>23</v>
      </c>
      <c r="D3" s="2" t="s">
        <v>27</v>
      </c>
      <c r="E3" s="2" t="s">
        <v>20</v>
      </c>
      <c r="F3" s="2">
        <v>102</v>
      </c>
      <c r="G3" s="2">
        <v>2</v>
      </c>
      <c r="H3" s="2">
        <v>1</v>
      </c>
      <c r="I3" s="2">
        <v>2</v>
      </c>
      <c r="J3" s="2">
        <v>4</v>
      </c>
      <c r="K3" s="2" t="s">
        <v>19</v>
      </c>
      <c r="L3" s="5" t="s">
        <v>31</v>
      </c>
      <c r="M3" s="4" t="s">
        <v>29</v>
      </c>
      <c r="N3" s="2" t="s">
        <v>32</v>
      </c>
      <c r="O3" s="2">
        <v>9.6999999999999993</v>
      </c>
      <c r="P3" s="2">
        <v>17.8</v>
      </c>
      <c r="Q3" s="2">
        <v>42.6</v>
      </c>
      <c r="R3" s="2">
        <v>9.06</v>
      </c>
      <c r="S3" s="2">
        <v>5932.26</v>
      </c>
      <c r="T3" s="2">
        <v>5291.93</v>
      </c>
      <c r="U3" s="2">
        <v>71.010000000000005</v>
      </c>
      <c r="V3" s="2">
        <v>50.32</v>
      </c>
      <c r="W3" s="3">
        <v>1</v>
      </c>
    </row>
    <row r="4" spans="1:23" x14ac:dyDescent="0.25">
      <c r="A4" s="2">
        <v>2024</v>
      </c>
      <c r="B4" s="2" t="s">
        <v>46</v>
      </c>
      <c r="C4" s="2" t="s">
        <v>23</v>
      </c>
      <c r="D4" s="2" t="s">
        <v>27</v>
      </c>
      <c r="E4" s="2" t="s">
        <v>20</v>
      </c>
      <c r="F4" s="2">
        <v>103</v>
      </c>
      <c r="G4" s="2">
        <v>3</v>
      </c>
      <c r="H4" s="2">
        <v>1</v>
      </c>
      <c r="I4" s="2">
        <v>3</v>
      </c>
      <c r="J4" s="2">
        <v>3</v>
      </c>
      <c r="K4" s="2" t="s">
        <v>19</v>
      </c>
      <c r="L4" s="5" t="s">
        <v>31</v>
      </c>
      <c r="M4" s="4" t="s">
        <v>29</v>
      </c>
      <c r="N4" s="2" t="s">
        <v>33</v>
      </c>
      <c r="O4" s="2">
        <v>10.51</v>
      </c>
      <c r="P4" s="2">
        <v>16</v>
      </c>
      <c r="Q4" s="2">
        <v>43.7</v>
      </c>
      <c r="R4" s="2">
        <v>10.029999999999999</v>
      </c>
      <c r="S4" s="2">
        <v>6568.38</v>
      </c>
      <c r="T4" s="2">
        <v>5859.4</v>
      </c>
      <c r="U4" s="2">
        <v>71.22</v>
      </c>
      <c r="V4" s="2">
        <v>50.24</v>
      </c>
      <c r="W4" s="3">
        <v>1</v>
      </c>
    </row>
    <row r="5" spans="1:23" x14ac:dyDescent="0.25">
      <c r="A5" s="2">
        <v>2024</v>
      </c>
      <c r="B5" s="2" t="s">
        <v>46</v>
      </c>
      <c r="C5" s="2" t="s">
        <v>23</v>
      </c>
      <c r="D5" s="2" t="s">
        <v>27</v>
      </c>
      <c r="E5" s="2" t="s">
        <v>20</v>
      </c>
      <c r="F5" s="2">
        <v>104</v>
      </c>
      <c r="G5" s="2">
        <v>4</v>
      </c>
      <c r="H5" s="2">
        <v>1</v>
      </c>
      <c r="I5" s="2">
        <v>4</v>
      </c>
      <c r="J5" s="2">
        <v>1</v>
      </c>
      <c r="K5" s="2" t="s">
        <v>19</v>
      </c>
      <c r="L5" s="5" t="s">
        <v>34</v>
      </c>
      <c r="M5" s="4" t="s">
        <v>34</v>
      </c>
      <c r="N5" s="2" t="s">
        <v>34</v>
      </c>
      <c r="O5" s="2">
        <v>11.21</v>
      </c>
      <c r="P5" s="2">
        <v>16.2</v>
      </c>
      <c r="Q5" s="2">
        <v>43.6</v>
      </c>
      <c r="R5" s="2">
        <v>10.67</v>
      </c>
      <c r="S5" s="2">
        <v>6989.18</v>
      </c>
      <c r="T5" s="2">
        <v>6234.77</v>
      </c>
      <c r="U5" s="2">
        <v>71.8</v>
      </c>
      <c r="V5" s="2">
        <v>51.65</v>
      </c>
      <c r="W5" s="3">
        <v>1</v>
      </c>
    </row>
    <row r="6" spans="1:23" x14ac:dyDescent="0.25">
      <c r="A6" s="2">
        <v>2024</v>
      </c>
      <c r="B6" s="2" t="s">
        <v>46</v>
      </c>
      <c r="C6" s="2" t="s">
        <v>23</v>
      </c>
      <c r="D6" s="2" t="s">
        <v>27</v>
      </c>
      <c r="E6" s="2" t="s">
        <v>20</v>
      </c>
      <c r="F6" s="2">
        <v>201</v>
      </c>
      <c r="G6" s="2">
        <v>1</v>
      </c>
      <c r="H6" s="2">
        <v>2</v>
      </c>
      <c r="I6" s="2">
        <v>1</v>
      </c>
      <c r="J6" s="2">
        <v>3</v>
      </c>
      <c r="K6" s="2" t="s">
        <v>19</v>
      </c>
      <c r="L6" s="5" t="s">
        <v>31</v>
      </c>
      <c r="M6" s="4" t="s">
        <v>29</v>
      </c>
      <c r="N6" s="2" t="s">
        <v>33</v>
      </c>
      <c r="O6" s="2">
        <v>10.56</v>
      </c>
      <c r="P6" s="2">
        <v>17.2</v>
      </c>
      <c r="Q6" s="2">
        <v>43.1</v>
      </c>
      <c r="R6" s="2">
        <v>9.94</v>
      </c>
      <c r="S6" s="2">
        <v>6505.35</v>
      </c>
      <c r="T6" s="2">
        <v>5803.17</v>
      </c>
      <c r="U6" s="2">
        <v>70.45</v>
      </c>
      <c r="V6" s="2">
        <v>50.98</v>
      </c>
      <c r="W6" s="3">
        <v>0</v>
      </c>
    </row>
    <row r="7" spans="1:23" x14ac:dyDescent="0.25">
      <c r="A7" s="2">
        <v>2024</v>
      </c>
      <c r="B7" s="2" t="s">
        <v>46</v>
      </c>
      <c r="C7" s="2" t="s">
        <v>23</v>
      </c>
      <c r="D7" s="2" t="s">
        <v>27</v>
      </c>
      <c r="E7" s="2" t="s">
        <v>20</v>
      </c>
      <c r="F7" s="2">
        <v>202</v>
      </c>
      <c r="G7" s="2">
        <v>2</v>
      </c>
      <c r="H7" s="2">
        <v>2</v>
      </c>
      <c r="I7" s="2">
        <v>2</v>
      </c>
      <c r="J7" s="2">
        <v>1</v>
      </c>
      <c r="K7" s="2" t="s">
        <v>19</v>
      </c>
      <c r="L7" s="5" t="s">
        <v>34</v>
      </c>
      <c r="M7" s="4" t="s">
        <v>34</v>
      </c>
      <c r="N7" s="2" t="s">
        <v>34</v>
      </c>
      <c r="O7" s="2">
        <v>10.1</v>
      </c>
      <c r="P7" s="2">
        <v>16.600000000000001</v>
      </c>
      <c r="Q7" s="2">
        <v>43.3</v>
      </c>
      <c r="R7" s="2">
        <v>9.57</v>
      </c>
      <c r="S7" s="2">
        <v>6267.06</v>
      </c>
      <c r="T7" s="2">
        <v>5590.6</v>
      </c>
      <c r="U7" s="2">
        <v>70.06</v>
      </c>
      <c r="V7" s="2">
        <v>48.21</v>
      </c>
      <c r="W7" s="3">
        <v>1</v>
      </c>
    </row>
    <row r="8" spans="1:23" x14ac:dyDescent="0.25">
      <c r="A8" s="2">
        <v>2024</v>
      </c>
      <c r="B8" s="2" t="s">
        <v>46</v>
      </c>
      <c r="C8" s="2" t="s">
        <v>23</v>
      </c>
      <c r="D8" s="2" t="s">
        <v>27</v>
      </c>
      <c r="E8" s="2" t="s">
        <v>20</v>
      </c>
      <c r="F8" s="2">
        <v>203</v>
      </c>
      <c r="G8" s="2">
        <v>3</v>
      </c>
      <c r="H8" s="2">
        <v>2</v>
      </c>
      <c r="I8" s="2">
        <v>3</v>
      </c>
      <c r="J8" s="2">
        <v>2</v>
      </c>
      <c r="K8" s="2" t="s">
        <v>19</v>
      </c>
      <c r="L8" s="5" t="s">
        <v>31</v>
      </c>
      <c r="M8" s="4" t="s">
        <v>29</v>
      </c>
      <c r="N8" s="2" t="s">
        <v>30</v>
      </c>
      <c r="O8" s="2">
        <v>9.08</v>
      </c>
      <c r="P8" s="2">
        <v>15.7</v>
      </c>
      <c r="Q8" s="2">
        <v>43.6</v>
      </c>
      <c r="R8" s="2">
        <v>8.6999999999999993</v>
      </c>
      <c r="S8" s="2">
        <v>5694.95</v>
      </c>
      <c r="T8" s="2">
        <v>5080.24</v>
      </c>
      <c r="U8" s="2">
        <v>70.349999999999994</v>
      </c>
      <c r="V8" s="2">
        <v>46.85</v>
      </c>
      <c r="W8" s="3">
        <v>0</v>
      </c>
    </row>
    <row r="9" spans="1:23" x14ac:dyDescent="0.25">
      <c r="A9" s="2">
        <v>2024</v>
      </c>
      <c r="B9" s="2" t="s">
        <v>46</v>
      </c>
      <c r="C9" s="2" t="s">
        <v>23</v>
      </c>
      <c r="D9" s="2" t="s">
        <v>27</v>
      </c>
      <c r="E9" s="2" t="s">
        <v>20</v>
      </c>
      <c r="F9" s="2">
        <v>204</v>
      </c>
      <c r="G9" s="2">
        <v>4</v>
      </c>
      <c r="H9" s="2">
        <v>2</v>
      </c>
      <c r="I9" s="2">
        <v>4</v>
      </c>
      <c r="J9" s="2">
        <v>3</v>
      </c>
      <c r="K9" s="2" t="s">
        <v>19</v>
      </c>
      <c r="L9" s="5" t="s">
        <v>31</v>
      </c>
      <c r="M9" s="4" t="s">
        <v>29</v>
      </c>
      <c r="N9" s="2" t="s">
        <v>33</v>
      </c>
      <c r="O9" s="2">
        <v>9.83</v>
      </c>
      <c r="P9" s="2">
        <v>16.3</v>
      </c>
      <c r="Q9" s="2">
        <v>43.5</v>
      </c>
      <c r="R9" s="2">
        <v>9.35</v>
      </c>
      <c r="S9" s="2">
        <v>6121.47</v>
      </c>
      <c r="T9" s="2">
        <v>5460.72</v>
      </c>
      <c r="U9" s="2">
        <v>70.69</v>
      </c>
      <c r="V9" s="2">
        <v>49.28</v>
      </c>
      <c r="W9" s="3">
        <v>1</v>
      </c>
    </row>
    <row r="10" spans="1:23" x14ac:dyDescent="0.25">
      <c r="A10" s="2">
        <v>2024</v>
      </c>
      <c r="B10" s="2" t="s">
        <v>46</v>
      </c>
      <c r="C10" s="2" t="s">
        <v>23</v>
      </c>
      <c r="D10" s="2" t="s">
        <v>27</v>
      </c>
      <c r="E10" s="2" t="s">
        <v>20</v>
      </c>
      <c r="F10" s="2">
        <v>301</v>
      </c>
      <c r="G10" s="2">
        <v>1</v>
      </c>
      <c r="H10" s="2">
        <v>3</v>
      </c>
      <c r="I10" s="2">
        <v>1</v>
      </c>
      <c r="J10" s="2">
        <v>4</v>
      </c>
      <c r="K10" s="2" t="s">
        <v>19</v>
      </c>
      <c r="L10" s="5" t="s">
        <v>31</v>
      </c>
      <c r="M10" s="4" t="s">
        <v>29</v>
      </c>
      <c r="N10" s="2" t="s">
        <v>32</v>
      </c>
      <c r="O10" s="2">
        <v>9.93</v>
      </c>
      <c r="P10" s="2">
        <v>17.5</v>
      </c>
      <c r="Q10" s="2">
        <v>42.8</v>
      </c>
      <c r="R10" s="2">
        <v>9.31</v>
      </c>
      <c r="S10" s="2">
        <v>6095.08</v>
      </c>
      <c r="T10" s="2">
        <v>5437.18</v>
      </c>
      <c r="U10" s="2">
        <v>70.459999999999994</v>
      </c>
      <c r="V10" s="2">
        <v>50.94</v>
      </c>
      <c r="W10" s="3">
        <v>1</v>
      </c>
    </row>
    <row r="11" spans="1:23" x14ac:dyDescent="0.25">
      <c r="A11" s="2">
        <v>2024</v>
      </c>
      <c r="B11" s="2" t="s">
        <v>46</v>
      </c>
      <c r="C11" s="2" t="s">
        <v>23</v>
      </c>
      <c r="D11" s="2" t="s">
        <v>27</v>
      </c>
      <c r="E11" s="2" t="s">
        <v>20</v>
      </c>
      <c r="F11" s="2">
        <v>302</v>
      </c>
      <c r="G11" s="2">
        <v>2</v>
      </c>
      <c r="H11" s="2">
        <v>3</v>
      </c>
      <c r="I11" s="2">
        <v>2</v>
      </c>
      <c r="J11" s="2">
        <v>2</v>
      </c>
      <c r="K11" s="2" t="s">
        <v>19</v>
      </c>
      <c r="L11" s="5" t="s">
        <v>31</v>
      </c>
      <c r="M11" s="4" t="s">
        <v>29</v>
      </c>
      <c r="N11" s="2" t="s">
        <v>30</v>
      </c>
      <c r="O11" s="2">
        <v>9.57</v>
      </c>
      <c r="P11" s="2">
        <v>16.3</v>
      </c>
      <c r="Q11" s="2">
        <v>43.5</v>
      </c>
      <c r="R11" s="2">
        <v>9.1</v>
      </c>
      <c r="S11" s="2">
        <v>5959.56</v>
      </c>
      <c r="T11" s="2">
        <v>5316.29</v>
      </c>
      <c r="U11" s="2">
        <v>69.86</v>
      </c>
      <c r="V11" s="2">
        <v>49.06</v>
      </c>
      <c r="W11" s="3">
        <v>0</v>
      </c>
    </row>
    <row r="12" spans="1:23" x14ac:dyDescent="0.25">
      <c r="A12" s="2">
        <v>2024</v>
      </c>
      <c r="B12" s="2" t="s">
        <v>46</v>
      </c>
      <c r="C12" s="2" t="s">
        <v>23</v>
      </c>
      <c r="D12" s="2" t="s">
        <v>27</v>
      </c>
      <c r="E12" s="2" t="s">
        <v>20</v>
      </c>
      <c r="F12" s="2">
        <v>303</v>
      </c>
      <c r="G12" s="2">
        <v>3</v>
      </c>
      <c r="H12" s="2">
        <v>3</v>
      </c>
      <c r="I12" s="2">
        <v>3</v>
      </c>
      <c r="J12" s="2">
        <v>4</v>
      </c>
      <c r="K12" s="2" t="s">
        <v>19</v>
      </c>
      <c r="L12" s="5" t="s">
        <v>31</v>
      </c>
      <c r="M12" s="4" t="s">
        <v>29</v>
      </c>
      <c r="N12" s="2" t="s">
        <v>32</v>
      </c>
      <c r="O12" s="2">
        <v>9.9</v>
      </c>
      <c r="P12" s="2">
        <v>16</v>
      </c>
      <c r="Q12" s="2">
        <v>43.5</v>
      </c>
      <c r="R12" s="2">
        <v>9.4499999999999993</v>
      </c>
      <c r="S12" s="2">
        <v>6187.16</v>
      </c>
      <c r="T12" s="2">
        <v>5519.32</v>
      </c>
      <c r="U12" s="2">
        <v>70.069999999999993</v>
      </c>
      <c r="V12" s="2">
        <v>46.63</v>
      </c>
      <c r="W12" s="3">
        <v>1</v>
      </c>
    </row>
    <row r="13" spans="1:23" x14ac:dyDescent="0.25">
      <c r="A13" s="2">
        <v>2024</v>
      </c>
      <c r="B13" s="2" t="s">
        <v>46</v>
      </c>
      <c r="C13" s="2" t="s">
        <v>23</v>
      </c>
      <c r="D13" s="2" t="s">
        <v>27</v>
      </c>
      <c r="E13" s="2" t="s">
        <v>20</v>
      </c>
      <c r="F13" s="2">
        <v>304</v>
      </c>
      <c r="G13" s="2">
        <v>4</v>
      </c>
      <c r="H13" s="2">
        <v>3</v>
      </c>
      <c r="I13" s="2">
        <v>4</v>
      </c>
      <c r="J13" s="2">
        <v>2</v>
      </c>
      <c r="K13" s="2" t="s">
        <v>19</v>
      </c>
      <c r="L13" s="5" t="s">
        <v>31</v>
      </c>
      <c r="M13" s="4" t="s">
        <v>29</v>
      </c>
      <c r="N13" s="2" t="s">
        <v>30</v>
      </c>
      <c r="O13" s="2">
        <v>10.01</v>
      </c>
      <c r="P13" s="2">
        <v>16</v>
      </c>
      <c r="Q13" s="2">
        <v>43.6</v>
      </c>
      <c r="R13" s="2">
        <v>9.56</v>
      </c>
      <c r="S13" s="2">
        <v>6255.9</v>
      </c>
      <c r="T13" s="2">
        <v>5580.64</v>
      </c>
      <c r="U13" s="2">
        <v>71.150000000000006</v>
      </c>
      <c r="V13" s="2">
        <v>49.21</v>
      </c>
      <c r="W13" s="3">
        <v>0</v>
      </c>
    </row>
    <row r="14" spans="1:23" x14ac:dyDescent="0.25">
      <c r="A14" s="2">
        <v>2024</v>
      </c>
      <c r="B14" s="2" t="s">
        <v>46</v>
      </c>
      <c r="C14" s="2" t="s">
        <v>23</v>
      </c>
      <c r="D14" s="2" t="s">
        <v>27</v>
      </c>
      <c r="E14" s="2" t="s">
        <v>20</v>
      </c>
      <c r="F14" s="2">
        <v>401</v>
      </c>
      <c r="G14" s="2">
        <v>1</v>
      </c>
      <c r="H14" s="2">
        <v>4</v>
      </c>
      <c r="I14" s="2">
        <v>1</v>
      </c>
      <c r="J14" s="2">
        <v>1</v>
      </c>
      <c r="K14" s="2" t="s">
        <v>19</v>
      </c>
      <c r="L14" s="5" t="s">
        <v>34</v>
      </c>
      <c r="M14" s="4" t="s">
        <v>29</v>
      </c>
      <c r="N14" s="2" t="s">
        <v>34</v>
      </c>
      <c r="O14" s="2">
        <v>10.73</v>
      </c>
      <c r="P14" s="2">
        <v>17.3</v>
      </c>
      <c r="Q14" s="2">
        <v>43.1</v>
      </c>
      <c r="R14" s="2">
        <v>10.08</v>
      </c>
      <c r="S14" s="2">
        <v>6602.09</v>
      </c>
      <c r="T14" s="2">
        <v>5889.47</v>
      </c>
      <c r="U14" s="2">
        <v>70.25</v>
      </c>
      <c r="V14" s="2">
        <v>50.07</v>
      </c>
      <c r="W14" s="3">
        <v>1</v>
      </c>
    </row>
    <row r="15" spans="1:23" x14ac:dyDescent="0.25">
      <c r="A15" s="2">
        <v>2024</v>
      </c>
      <c r="B15" s="2" t="s">
        <v>46</v>
      </c>
      <c r="C15" s="2" t="s">
        <v>23</v>
      </c>
      <c r="D15" s="2" t="s">
        <v>27</v>
      </c>
      <c r="E15" s="2" t="s">
        <v>20</v>
      </c>
      <c r="F15" s="2">
        <v>402</v>
      </c>
      <c r="G15" s="2">
        <v>2</v>
      </c>
      <c r="H15" s="2">
        <v>4</v>
      </c>
      <c r="I15" s="2">
        <v>2</v>
      </c>
      <c r="J15" s="2">
        <v>5</v>
      </c>
      <c r="K15" s="2" t="s">
        <v>19</v>
      </c>
      <c r="L15" s="5" t="s">
        <v>28</v>
      </c>
      <c r="M15" s="4" t="s">
        <v>29</v>
      </c>
      <c r="N15" s="2" t="s">
        <v>30</v>
      </c>
      <c r="O15" s="2">
        <v>10.33</v>
      </c>
      <c r="P15" s="2">
        <v>16.2</v>
      </c>
      <c r="Q15" s="2">
        <v>43.5</v>
      </c>
      <c r="R15" s="2">
        <v>9.84</v>
      </c>
      <c r="S15" s="2">
        <v>6440.52</v>
      </c>
      <c r="T15" s="2">
        <v>5745.33</v>
      </c>
      <c r="U15" s="2">
        <v>70.010000000000005</v>
      </c>
      <c r="V15" s="2">
        <v>48.55</v>
      </c>
      <c r="W15" s="3">
        <v>0</v>
      </c>
    </row>
    <row r="16" spans="1:23" x14ac:dyDescent="0.25">
      <c r="A16" s="2">
        <v>2024</v>
      </c>
      <c r="B16" s="2" t="s">
        <v>46</v>
      </c>
      <c r="C16" s="2" t="s">
        <v>23</v>
      </c>
      <c r="D16" s="2" t="s">
        <v>27</v>
      </c>
      <c r="E16" s="2" t="s">
        <v>20</v>
      </c>
      <c r="F16" s="2">
        <v>403</v>
      </c>
      <c r="G16" s="2">
        <v>3</v>
      </c>
      <c r="H16" s="2">
        <v>4</v>
      </c>
      <c r="I16" s="2">
        <v>3</v>
      </c>
      <c r="J16" s="2">
        <v>5</v>
      </c>
      <c r="K16" s="2" t="s">
        <v>19</v>
      </c>
      <c r="L16" s="5" t="s">
        <v>28</v>
      </c>
      <c r="M16" s="4" t="s">
        <v>29</v>
      </c>
      <c r="N16" s="2" t="s">
        <v>30</v>
      </c>
      <c r="O16" s="2">
        <v>10.75</v>
      </c>
      <c r="P16" s="2">
        <v>16.399999999999999</v>
      </c>
      <c r="Q16" s="2">
        <v>43.4</v>
      </c>
      <c r="R16" s="2">
        <v>10.210000000000001</v>
      </c>
      <c r="S16" s="2">
        <v>6686.38</v>
      </c>
      <c r="T16" s="2">
        <v>5964.66</v>
      </c>
      <c r="U16" s="2">
        <v>72.36</v>
      </c>
      <c r="V16" s="2">
        <v>52.23</v>
      </c>
      <c r="W16" s="3">
        <v>1</v>
      </c>
    </row>
    <row r="17" spans="1:23" x14ac:dyDescent="0.25">
      <c r="A17" s="2">
        <v>2024</v>
      </c>
      <c r="B17" s="2" t="s">
        <v>46</v>
      </c>
      <c r="C17" s="2" t="s">
        <v>23</v>
      </c>
      <c r="D17" s="2" t="s">
        <v>27</v>
      </c>
      <c r="E17" s="2" t="s">
        <v>20</v>
      </c>
      <c r="F17" s="2">
        <v>404</v>
      </c>
      <c r="G17" s="2">
        <v>4</v>
      </c>
      <c r="H17" s="2">
        <v>4</v>
      </c>
      <c r="I17" s="2">
        <v>4</v>
      </c>
      <c r="J17" s="2">
        <v>6</v>
      </c>
      <c r="K17" s="2" t="s">
        <v>19</v>
      </c>
      <c r="L17" s="5" t="s">
        <v>28</v>
      </c>
      <c r="M17" s="4" t="s">
        <v>29</v>
      </c>
      <c r="N17" s="2" t="s">
        <v>33</v>
      </c>
      <c r="O17" s="2">
        <v>9.3699999999999992</v>
      </c>
      <c r="P17" s="2">
        <v>15.7</v>
      </c>
      <c r="Q17" s="2">
        <v>43.7</v>
      </c>
      <c r="R17" s="2">
        <v>8.98</v>
      </c>
      <c r="S17" s="2">
        <v>5876.84</v>
      </c>
      <c r="T17" s="2">
        <v>5242.5</v>
      </c>
      <c r="U17" s="2">
        <v>71.010000000000005</v>
      </c>
      <c r="V17" s="2">
        <v>48.46</v>
      </c>
      <c r="W17" s="3">
        <v>0</v>
      </c>
    </row>
    <row r="18" spans="1:23" x14ac:dyDescent="0.25">
      <c r="A18" s="2">
        <v>2024</v>
      </c>
      <c r="B18" s="2" t="s">
        <v>46</v>
      </c>
      <c r="C18" s="2" t="s">
        <v>23</v>
      </c>
      <c r="D18" s="2" t="s">
        <v>27</v>
      </c>
      <c r="E18" s="2" t="s">
        <v>20</v>
      </c>
      <c r="F18" s="2">
        <v>501</v>
      </c>
      <c r="G18" s="2">
        <v>1</v>
      </c>
      <c r="H18" s="2">
        <v>5</v>
      </c>
      <c r="I18" s="2">
        <v>1</v>
      </c>
      <c r="J18" s="2">
        <v>2</v>
      </c>
      <c r="K18" s="2" t="s">
        <v>19</v>
      </c>
      <c r="L18" s="5" t="s">
        <v>31</v>
      </c>
      <c r="M18" s="4" t="s">
        <v>29</v>
      </c>
      <c r="N18" s="2" t="s">
        <v>30</v>
      </c>
      <c r="O18" s="2">
        <v>9.4</v>
      </c>
      <c r="P18" s="2">
        <v>18.100000000000001</v>
      </c>
      <c r="Q18" s="2">
        <v>42.3</v>
      </c>
      <c r="R18" s="2">
        <v>8.75</v>
      </c>
      <c r="S18" s="2">
        <v>5727.81</v>
      </c>
      <c r="T18" s="2">
        <v>5109.55</v>
      </c>
      <c r="U18" s="2">
        <v>69.73</v>
      </c>
      <c r="V18" s="2">
        <v>48.45</v>
      </c>
      <c r="W18" s="3">
        <v>0</v>
      </c>
    </row>
    <row r="19" spans="1:23" x14ac:dyDescent="0.25">
      <c r="A19" s="2">
        <v>2024</v>
      </c>
      <c r="B19" s="2" t="s">
        <v>46</v>
      </c>
      <c r="C19" s="2" t="s">
        <v>23</v>
      </c>
      <c r="D19" s="2" t="s">
        <v>27</v>
      </c>
      <c r="E19" s="2" t="s">
        <v>20</v>
      </c>
      <c r="F19" s="2">
        <v>502</v>
      </c>
      <c r="G19" s="2">
        <v>2</v>
      </c>
      <c r="H19" s="2">
        <v>5</v>
      </c>
      <c r="I19" s="2">
        <v>2</v>
      </c>
      <c r="J19" s="2">
        <v>3</v>
      </c>
      <c r="K19" s="2" t="s">
        <v>19</v>
      </c>
      <c r="L19" s="5" t="s">
        <v>31</v>
      </c>
      <c r="M19" s="4" t="s">
        <v>29</v>
      </c>
      <c r="N19" s="2" t="s">
        <v>33</v>
      </c>
      <c r="O19" s="2">
        <v>9.36</v>
      </c>
      <c r="P19" s="2">
        <v>16.8</v>
      </c>
      <c r="Q19" s="2">
        <v>43</v>
      </c>
      <c r="R19" s="2">
        <v>8.85</v>
      </c>
      <c r="S19" s="2">
        <v>5793.96</v>
      </c>
      <c r="T19" s="2">
        <v>5168.57</v>
      </c>
      <c r="U19" s="2">
        <v>70.45</v>
      </c>
      <c r="V19" s="2">
        <v>49.79</v>
      </c>
      <c r="W19" s="3">
        <v>1</v>
      </c>
    </row>
    <row r="20" spans="1:23" x14ac:dyDescent="0.25">
      <c r="A20" s="2">
        <v>2024</v>
      </c>
      <c r="B20" s="2" t="s">
        <v>46</v>
      </c>
      <c r="C20" s="2" t="s">
        <v>23</v>
      </c>
      <c r="D20" s="2" t="s">
        <v>27</v>
      </c>
      <c r="E20" s="2" t="s">
        <v>20</v>
      </c>
      <c r="F20" s="2">
        <v>503</v>
      </c>
      <c r="G20" s="2">
        <v>3</v>
      </c>
      <c r="H20" s="2">
        <v>5</v>
      </c>
      <c r="I20" s="2">
        <v>3</v>
      </c>
      <c r="J20" s="2">
        <v>1</v>
      </c>
      <c r="K20" s="2" t="s">
        <v>19</v>
      </c>
      <c r="L20" s="5" t="s">
        <v>34</v>
      </c>
      <c r="M20" s="2" t="s">
        <v>34</v>
      </c>
      <c r="N20" s="2" t="s">
        <v>34</v>
      </c>
      <c r="O20" s="2">
        <v>10.1</v>
      </c>
      <c r="P20" s="2">
        <v>16.3</v>
      </c>
      <c r="Q20" s="2">
        <v>43.3</v>
      </c>
      <c r="R20" s="2">
        <v>9.61</v>
      </c>
      <c r="S20" s="2">
        <v>6289.6</v>
      </c>
      <c r="T20" s="2">
        <v>5610.71</v>
      </c>
      <c r="U20" s="2">
        <v>70.349999999999994</v>
      </c>
      <c r="V20" s="2">
        <v>47.93</v>
      </c>
      <c r="W20" s="3">
        <v>0</v>
      </c>
    </row>
    <row r="21" spans="1:23" x14ac:dyDescent="0.25">
      <c r="A21" s="2">
        <v>2024</v>
      </c>
      <c r="B21" s="2" t="s">
        <v>46</v>
      </c>
      <c r="C21" s="2" t="s">
        <v>23</v>
      </c>
      <c r="D21" s="2" t="s">
        <v>27</v>
      </c>
      <c r="E21" s="2" t="s">
        <v>20</v>
      </c>
      <c r="F21" s="2">
        <v>504</v>
      </c>
      <c r="G21" s="2">
        <v>4</v>
      </c>
      <c r="H21" s="2">
        <v>5</v>
      </c>
      <c r="I21" s="2">
        <v>4</v>
      </c>
      <c r="J21" s="2">
        <v>4</v>
      </c>
      <c r="K21" s="2" t="s">
        <v>19</v>
      </c>
      <c r="L21" s="5" t="s">
        <v>31</v>
      </c>
      <c r="M21" s="4" t="s">
        <v>29</v>
      </c>
      <c r="N21" s="2" t="s">
        <v>32</v>
      </c>
      <c r="O21" s="2">
        <v>8.85</v>
      </c>
      <c r="P21" s="2">
        <v>15.8</v>
      </c>
      <c r="Q21" s="2">
        <v>43.5</v>
      </c>
      <c r="R21" s="2">
        <v>8.4700000000000006</v>
      </c>
      <c r="S21" s="2">
        <v>5544.11</v>
      </c>
      <c r="T21" s="2">
        <v>4945.68</v>
      </c>
      <c r="U21" s="2">
        <v>69.83</v>
      </c>
      <c r="V21" s="2">
        <v>47.16</v>
      </c>
      <c r="W21" s="3">
        <v>1</v>
      </c>
    </row>
    <row r="22" spans="1:23" x14ac:dyDescent="0.25">
      <c r="A22" s="2">
        <v>2024</v>
      </c>
      <c r="B22" s="2" t="s">
        <v>46</v>
      </c>
      <c r="C22" s="2" t="s">
        <v>23</v>
      </c>
      <c r="D22" s="2" t="s">
        <v>27</v>
      </c>
      <c r="E22" s="2" t="s">
        <v>20</v>
      </c>
      <c r="F22" s="2">
        <v>601</v>
      </c>
      <c r="G22" s="2">
        <v>1</v>
      </c>
      <c r="H22" s="2">
        <v>6</v>
      </c>
      <c r="I22" s="2">
        <v>1</v>
      </c>
      <c r="J22" s="2">
        <v>6</v>
      </c>
      <c r="K22" s="2" t="s">
        <v>19</v>
      </c>
      <c r="L22" s="5" t="s">
        <v>28</v>
      </c>
      <c r="M22" s="4" t="s">
        <v>29</v>
      </c>
      <c r="N22" s="2" t="s">
        <v>33</v>
      </c>
      <c r="O22" s="2">
        <v>10.58</v>
      </c>
      <c r="P22" s="2">
        <v>16.600000000000001</v>
      </c>
      <c r="Q22" s="2">
        <v>43.2</v>
      </c>
      <c r="R22" s="2">
        <v>10.029999999999999</v>
      </c>
      <c r="S22" s="2">
        <v>6564.9</v>
      </c>
      <c r="T22" s="2">
        <v>5856.29</v>
      </c>
      <c r="U22" s="2">
        <v>70.94</v>
      </c>
      <c r="V22" s="2">
        <v>49.66</v>
      </c>
      <c r="W22" s="3">
        <v>0</v>
      </c>
    </row>
    <row r="23" spans="1:23" x14ac:dyDescent="0.25">
      <c r="A23" s="2">
        <v>2024</v>
      </c>
      <c r="B23" s="2" t="s">
        <v>46</v>
      </c>
      <c r="C23" s="2" t="s">
        <v>23</v>
      </c>
      <c r="D23" s="2" t="s">
        <v>27</v>
      </c>
      <c r="E23" s="2" t="s">
        <v>20</v>
      </c>
      <c r="F23" s="2">
        <v>602</v>
      </c>
      <c r="G23" s="2">
        <v>2</v>
      </c>
      <c r="H23" s="2">
        <v>6</v>
      </c>
      <c r="I23" s="2">
        <v>2</v>
      </c>
      <c r="J23" s="2">
        <v>6</v>
      </c>
      <c r="K23" s="2" t="s">
        <v>19</v>
      </c>
      <c r="L23" s="5" t="s">
        <v>28</v>
      </c>
      <c r="M23" s="4" t="s">
        <v>29</v>
      </c>
      <c r="N23" s="2" t="s">
        <v>33</v>
      </c>
      <c r="O23" s="2">
        <v>10.07</v>
      </c>
      <c r="P23" s="2">
        <v>16.2</v>
      </c>
      <c r="Q23" s="2">
        <v>43.5</v>
      </c>
      <c r="R23" s="2">
        <v>9.59</v>
      </c>
      <c r="S23" s="2">
        <v>6278.41</v>
      </c>
      <c r="T23" s="2">
        <v>5600.73</v>
      </c>
      <c r="U23" s="2">
        <v>71.19</v>
      </c>
      <c r="V23" s="2">
        <v>49.7</v>
      </c>
      <c r="W23" s="3">
        <v>1</v>
      </c>
    </row>
    <row r="24" spans="1:23" x14ac:dyDescent="0.25">
      <c r="A24" s="2">
        <v>2024</v>
      </c>
      <c r="B24" s="2" t="s">
        <v>46</v>
      </c>
      <c r="C24" s="2" t="s">
        <v>23</v>
      </c>
      <c r="D24" s="2" t="s">
        <v>27</v>
      </c>
      <c r="E24" s="2" t="s">
        <v>20</v>
      </c>
      <c r="F24" s="2">
        <v>603</v>
      </c>
      <c r="G24" s="2">
        <v>3</v>
      </c>
      <c r="H24" s="2">
        <v>6</v>
      </c>
      <c r="I24" s="2">
        <v>3</v>
      </c>
      <c r="J24" s="2">
        <v>6</v>
      </c>
      <c r="K24" s="2" t="s">
        <v>19</v>
      </c>
      <c r="L24" s="5" t="s">
        <v>28</v>
      </c>
      <c r="M24" s="4" t="s">
        <v>29</v>
      </c>
      <c r="N24" s="2" t="s">
        <v>33</v>
      </c>
      <c r="O24" s="2">
        <v>9.74</v>
      </c>
      <c r="P24" s="2">
        <v>16.899999999999999</v>
      </c>
      <c r="Q24" s="2">
        <v>43.2</v>
      </c>
      <c r="R24" s="2">
        <v>9.1999999999999993</v>
      </c>
      <c r="S24" s="2">
        <v>6021.94</v>
      </c>
      <c r="T24" s="2">
        <v>5371.94</v>
      </c>
      <c r="U24" s="2">
        <v>70.599999999999994</v>
      </c>
      <c r="V24" s="2">
        <v>47.12</v>
      </c>
      <c r="W24" s="3">
        <v>1</v>
      </c>
    </row>
    <row r="25" spans="1:23" x14ac:dyDescent="0.25">
      <c r="A25" s="2">
        <v>2024</v>
      </c>
      <c r="B25" s="2" t="s">
        <v>46</v>
      </c>
      <c r="C25" s="2" t="s">
        <v>23</v>
      </c>
      <c r="D25" s="2" t="s">
        <v>27</v>
      </c>
      <c r="E25" s="2" t="s">
        <v>20</v>
      </c>
      <c r="F25" s="2">
        <v>604</v>
      </c>
      <c r="G25" s="2">
        <v>4</v>
      </c>
      <c r="H25" s="2">
        <v>6</v>
      </c>
      <c r="I25" s="2">
        <v>4</v>
      </c>
      <c r="J25" s="2">
        <v>5</v>
      </c>
      <c r="K25" s="2" t="s">
        <v>19</v>
      </c>
      <c r="L25" s="5" t="s">
        <v>28</v>
      </c>
      <c r="M25" s="4" t="s">
        <v>29</v>
      </c>
      <c r="N25" s="2" t="s">
        <v>30</v>
      </c>
      <c r="O25" s="2">
        <v>9.41</v>
      </c>
      <c r="P25" s="2">
        <v>17.100000000000001</v>
      </c>
      <c r="Q25" s="2">
        <v>42.9</v>
      </c>
      <c r="R25" s="2">
        <v>8.86</v>
      </c>
      <c r="S25" s="2">
        <v>5803.91</v>
      </c>
      <c r="T25" s="2">
        <v>5177.4399999999996</v>
      </c>
      <c r="U25" s="2">
        <v>70.34</v>
      </c>
      <c r="V25" s="2">
        <v>47.2</v>
      </c>
      <c r="W25" s="3">
        <v>1</v>
      </c>
    </row>
    <row r="26" spans="1:23" x14ac:dyDescent="0.25">
      <c r="A26" s="2">
        <v>2024</v>
      </c>
      <c r="B26" s="2" t="s">
        <v>47</v>
      </c>
      <c r="C26" s="2" t="s">
        <v>35</v>
      </c>
      <c r="D26" s="2" t="s">
        <v>36</v>
      </c>
      <c r="E26" s="2" t="s">
        <v>21</v>
      </c>
      <c r="F26" s="2">
        <v>101</v>
      </c>
      <c r="G26" s="2">
        <v>1</v>
      </c>
      <c r="H26" s="2">
        <v>1</v>
      </c>
      <c r="I26" s="2">
        <v>1</v>
      </c>
      <c r="J26" s="2">
        <v>5</v>
      </c>
      <c r="K26" s="2" t="s">
        <v>37</v>
      </c>
      <c r="L26" s="5" t="s">
        <v>28</v>
      </c>
      <c r="M26" s="5" t="s">
        <v>29</v>
      </c>
      <c r="N26" s="2" t="s">
        <v>30</v>
      </c>
      <c r="O26" s="2">
        <v>6.87</v>
      </c>
      <c r="P26" s="2">
        <v>13.1</v>
      </c>
      <c r="Q26" s="2">
        <v>31.9</v>
      </c>
      <c r="R26" s="2">
        <v>6.78</v>
      </c>
      <c r="S26" s="2">
        <v>4441.74</v>
      </c>
      <c r="T26" s="6">
        <v>3962.3</v>
      </c>
      <c r="U26" s="2">
        <v>67.05</v>
      </c>
      <c r="V26" s="2">
        <v>43.3</v>
      </c>
      <c r="W26" s="3">
        <v>1</v>
      </c>
    </row>
    <row r="27" spans="1:23" x14ac:dyDescent="0.25">
      <c r="A27" s="2">
        <v>2024</v>
      </c>
      <c r="B27" s="2" t="s">
        <v>47</v>
      </c>
      <c r="C27" s="2" t="s">
        <v>35</v>
      </c>
      <c r="D27" s="2" t="s">
        <v>36</v>
      </c>
      <c r="E27" s="2" t="s">
        <v>21</v>
      </c>
      <c r="F27" s="2">
        <v>102</v>
      </c>
      <c r="G27" s="2">
        <v>2</v>
      </c>
      <c r="H27" s="2">
        <v>1</v>
      </c>
      <c r="I27" s="2">
        <v>2</v>
      </c>
      <c r="J27" s="2">
        <v>6</v>
      </c>
      <c r="K27" s="2" t="s">
        <v>37</v>
      </c>
      <c r="L27" s="5" t="s">
        <v>28</v>
      </c>
      <c r="M27" s="5" t="s">
        <v>29</v>
      </c>
      <c r="N27" s="2" t="s">
        <v>33</v>
      </c>
      <c r="O27" s="2">
        <v>6.48</v>
      </c>
      <c r="P27" s="2">
        <v>13.4</v>
      </c>
      <c r="Q27" s="2">
        <v>37.5</v>
      </c>
      <c r="R27" s="2">
        <v>6.38</v>
      </c>
      <c r="S27" s="2">
        <v>4175.12</v>
      </c>
      <c r="T27" s="2">
        <v>3724.46</v>
      </c>
      <c r="U27" s="2">
        <v>66.2</v>
      </c>
      <c r="V27" s="2">
        <v>41.9</v>
      </c>
      <c r="W27" s="3">
        <v>0</v>
      </c>
    </row>
    <row r="28" spans="1:23" x14ac:dyDescent="0.25">
      <c r="A28" s="2">
        <v>2024</v>
      </c>
      <c r="B28" s="2" t="s">
        <v>47</v>
      </c>
      <c r="C28" s="2" t="s">
        <v>35</v>
      </c>
      <c r="D28" s="2" t="s">
        <v>36</v>
      </c>
      <c r="E28" s="2" t="s">
        <v>21</v>
      </c>
      <c r="F28" s="2">
        <v>103</v>
      </c>
      <c r="G28" s="2">
        <v>3</v>
      </c>
      <c r="H28" s="2">
        <v>1</v>
      </c>
      <c r="I28" s="2">
        <v>3</v>
      </c>
      <c r="J28" s="2">
        <v>2</v>
      </c>
      <c r="K28" s="2" t="s">
        <v>37</v>
      </c>
      <c r="L28" s="5" t="s">
        <v>31</v>
      </c>
      <c r="M28" s="5" t="s">
        <v>29</v>
      </c>
      <c r="N28" s="2" t="s">
        <v>30</v>
      </c>
      <c r="O28" s="2">
        <v>6.34</v>
      </c>
      <c r="P28" s="2">
        <v>12.4</v>
      </c>
      <c r="Q28" s="2">
        <v>30.2</v>
      </c>
      <c r="R28" s="2">
        <v>6.31</v>
      </c>
      <c r="S28" s="2">
        <v>4132.09</v>
      </c>
      <c r="T28" s="2">
        <v>3686.08</v>
      </c>
      <c r="U28" s="2">
        <v>62.57</v>
      </c>
      <c r="V28" s="2">
        <v>36.4</v>
      </c>
      <c r="W28" s="3">
        <v>1</v>
      </c>
    </row>
    <row r="29" spans="1:23" x14ac:dyDescent="0.25">
      <c r="A29" s="2">
        <v>2024</v>
      </c>
      <c r="B29" s="2" t="s">
        <v>47</v>
      </c>
      <c r="C29" s="2" t="s">
        <v>35</v>
      </c>
      <c r="D29" s="2" t="s">
        <v>36</v>
      </c>
      <c r="E29" s="2" t="s">
        <v>21</v>
      </c>
      <c r="F29" s="2">
        <v>104</v>
      </c>
      <c r="G29" s="2">
        <v>4</v>
      </c>
      <c r="H29" s="2">
        <v>1</v>
      </c>
      <c r="I29" s="2">
        <v>4</v>
      </c>
      <c r="J29" s="2">
        <v>5</v>
      </c>
      <c r="K29" s="2" t="s">
        <v>37</v>
      </c>
      <c r="L29" s="5" t="s">
        <v>28</v>
      </c>
      <c r="M29" s="5" t="s">
        <v>29</v>
      </c>
      <c r="N29" s="2" t="s">
        <v>30</v>
      </c>
      <c r="O29" s="2">
        <v>5.75</v>
      </c>
      <c r="P29" s="2">
        <v>13.2</v>
      </c>
      <c r="Q29" s="2">
        <v>35.299999999999997</v>
      </c>
      <c r="R29" s="2">
        <v>5.67</v>
      </c>
      <c r="S29" s="2">
        <v>3713.33</v>
      </c>
      <c r="T29" s="2">
        <v>3312.52</v>
      </c>
      <c r="U29" s="2">
        <v>64.069999999999993</v>
      </c>
      <c r="V29" s="2">
        <v>38.08</v>
      </c>
      <c r="W29" s="3">
        <v>1</v>
      </c>
    </row>
    <row r="30" spans="1:23" x14ac:dyDescent="0.25">
      <c r="A30" s="2">
        <v>2024</v>
      </c>
      <c r="B30" s="2" t="s">
        <v>47</v>
      </c>
      <c r="C30" s="2" t="s">
        <v>35</v>
      </c>
      <c r="D30" s="2" t="s">
        <v>36</v>
      </c>
      <c r="E30" s="2" t="s">
        <v>21</v>
      </c>
      <c r="F30" s="2">
        <v>201</v>
      </c>
      <c r="G30" s="2">
        <v>1</v>
      </c>
      <c r="H30" s="2">
        <v>2</v>
      </c>
      <c r="I30" s="2">
        <v>1</v>
      </c>
      <c r="J30" s="2">
        <v>1</v>
      </c>
      <c r="K30" s="2" t="s">
        <v>37</v>
      </c>
      <c r="L30" s="5" t="s">
        <v>34</v>
      </c>
      <c r="M30" s="5" t="s">
        <v>34</v>
      </c>
      <c r="N30" s="2" t="s">
        <v>34</v>
      </c>
      <c r="O30" s="2">
        <v>7.24</v>
      </c>
      <c r="P30" s="2">
        <v>13.1</v>
      </c>
      <c r="Q30" s="2">
        <v>36.799999999999997</v>
      </c>
      <c r="R30" s="2">
        <v>7.15</v>
      </c>
      <c r="S30" s="2">
        <v>4680.96</v>
      </c>
      <c r="T30" s="6">
        <v>4175.7</v>
      </c>
      <c r="U30" s="2">
        <v>69.62</v>
      </c>
      <c r="V30" s="2">
        <v>47.04</v>
      </c>
      <c r="W30" s="3">
        <v>1</v>
      </c>
    </row>
    <row r="31" spans="1:23" x14ac:dyDescent="0.25">
      <c r="A31" s="2">
        <v>2024</v>
      </c>
      <c r="B31" s="2" t="s">
        <v>47</v>
      </c>
      <c r="C31" s="2" t="s">
        <v>35</v>
      </c>
      <c r="D31" s="2" t="s">
        <v>36</v>
      </c>
      <c r="E31" s="2" t="s">
        <v>21</v>
      </c>
      <c r="F31" s="2">
        <v>202</v>
      </c>
      <c r="G31" s="2">
        <v>2</v>
      </c>
      <c r="H31" s="2">
        <v>2</v>
      </c>
      <c r="I31" s="2">
        <v>2</v>
      </c>
      <c r="J31" s="2">
        <v>3</v>
      </c>
      <c r="K31" s="2" t="s">
        <v>37</v>
      </c>
      <c r="L31" s="5" t="s">
        <v>31</v>
      </c>
      <c r="M31" s="5" t="s">
        <v>29</v>
      </c>
      <c r="N31" s="2" t="s">
        <v>33</v>
      </c>
      <c r="O31" s="2">
        <v>7.95</v>
      </c>
      <c r="P31" s="2">
        <v>13.6</v>
      </c>
      <c r="Q31" s="2">
        <v>39.200000000000003</v>
      </c>
      <c r="R31" s="2">
        <v>7.81</v>
      </c>
      <c r="S31" s="2">
        <v>5110.43</v>
      </c>
      <c r="T31" s="2">
        <v>4558.8100000000004</v>
      </c>
      <c r="U31" s="2">
        <v>69.540000000000006</v>
      </c>
      <c r="V31" s="2">
        <v>48</v>
      </c>
      <c r="W31" s="3">
        <v>0</v>
      </c>
    </row>
    <row r="32" spans="1:23" x14ac:dyDescent="0.25">
      <c r="A32" s="2">
        <v>2024</v>
      </c>
      <c r="B32" s="2" t="s">
        <v>47</v>
      </c>
      <c r="C32" s="2" t="s">
        <v>35</v>
      </c>
      <c r="D32" s="2" t="s">
        <v>36</v>
      </c>
      <c r="E32" s="2" t="s">
        <v>21</v>
      </c>
      <c r="F32" s="2">
        <v>203</v>
      </c>
      <c r="G32" s="2">
        <v>3</v>
      </c>
      <c r="H32" s="2">
        <v>2</v>
      </c>
      <c r="I32" s="2">
        <v>3</v>
      </c>
      <c r="J32" s="2">
        <v>6</v>
      </c>
      <c r="K32" s="2" t="s">
        <v>37</v>
      </c>
      <c r="L32" s="5" t="s">
        <v>28</v>
      </c>
      <c r="M32" s="5" t="s">
        <v>29</v>
      </c>
      <c r="N32" s="2" t="s">
        <v>33</v>
      </c>
      <c r="O32" s="2">
        <v>7.58</v>
      </c>
      <c r="P32" s="2">
        <v>13</v>
      </c>
      <c r="Q32" s="2">
        <v>36</v>
      </c>
      <c r="R32" s="2">
        <v>7.49</v>
      </c>
      <c r="S32" s="2">
        <v>4906.42</v>
      </c>
      <c r="T32" s="2">
        <v>4376.83</v>
      </c>
      <c r="U32" s="2">
        <v>69.27</v>
      </c>
      <c r="V32" s="2">
        <v>45.04</v>
      </c>
      <c r="W32" s="3">
        <v>1</v>
      </c>
    </row>
    <row r="33" spans="1:23" x14ac:dyDescent="0.25">
      <c r="A33" s="2">
        <v>2024</v>
      </c>
      <c r="B33" s="2" t="s">
        <v>47</v>
      </c>
      <c r="C33" s="2" t="s">
        <v>35</v>
      </c>
      <c r="D33" s="2" t="s">
        <v>36</v>
      </c>
      <c r="E33" s="2" t="s">
        <v>21</v>
      </c>
      <c r="F33" s="2">
        <v>204</v>
      </c>
      <c r="G33" s="2">
        <v>4</v>
      </c>
      <c r="H33" s="2">
        <v>2</v>
      </c>
      <c r="I33" s="2">
        <v>4</v>
      </c>
      <c r="J33" s="2">
        <v>2</v>
      </c>
      <c r="K33" s="2" t="s">
        <v>37</v>
      </c>
      <c r="L33" s="5" t="s">
        <v>31</v>
      </c>
      <c r="M33" s="5" t="s">
        <v>29</v>
      </c>
      <c r="N33" s="2" t="s">
        <v>30</v>
      </c>
      <c r="O33" s="2">
        <v>7.95</v>
      </c>
      <c r="P33" s="2">
        <v>13.4</v>
      </c>
      <c r="Q33" s="2">
        <v>37.700000000000003</v>
      </c>
      <c r="R33" s="2">
        <v>7.82</v>
      </c>
      <c r="S33" s="2">
        <v>5122.26</v>
      </c>
      <c r="T33" s="2">
        <v>4569.37</v>
      </c>
      <c r="U33" s="2">
        <v>69.989999999999995</v>
      </c>
      <c r="V33" s="2">
        <v>46.4</v>
      </c>
      <c r="W33" s="3">
        <v>1</v>
      </c>
    </row>
    <row r="34" spans="1:23" x14ac:dyDescent="0.25">
      <c r="A34" s="2">
        <v>2024</v>
      </c>
      <c r="B34" s="2" t="s">
        <v>47</v>
      </c>
      <c r="C34" s="2" t="s">
        <v>35</v>
      </c>
      <c r="D34" s="2" t="s">
        <v>36</v>
      </c>
      <c r="E34" s="2" t="s">
        <v>21</v>
      </c>
      <c r="F34" s="2">
        <v>301</v>
      </c>
      <c r="G34" s="2">
        <v>1</v>
      </c>
      <c r="H34" s="2">
        <v>3</v>
      </c>
      <c r="I34" s="2">
        <v>1</v>
      </c>
      <c r="J34" s="2">
        <v>6</v>
      </c>
      <c r="K34" s="2" t="s">
        <v>37</v>
      </c>
      <c r="L34" s="5" t="s">
        <v>28</v>
      </c>
      <c r="M34" s="5" t="s">
        <v>29</v>
      </c>
      <c r="N34" s="2" t="s">
        <v>33</v>
      </c>
      <c r="O34" s="2">
        <v>7.91</v>
      </c>
      <c r="P34" s="2">
        <v>14</v>
      </c>
      <c r="Q34" s="2">
        <v>40.200000000000003</v>
      </c>
      <c r="R34" s="2">
        <v>7.73</v>
      </c>
      <c r="S34" s="2">
        <v>5061.18</v>
      </c>
      <c r="T34" s="2">
        <v>4514.88</v>
      </c>
      <c r="U34" s="2">
        <v>71.14</v>
      </c>
      <c r="V34" s="2">
        <v>50.39</v>
      </c>
      <c r="W34" s="3">
        <v>1</v>
      </c>
    </row>
    <row r="35" spans="1:23" x14ac:dyDescent="0.25">
      <c r="A35" s="2">
        <v>2024</v>
      </c>
      <c r="B35" s="2" t="s">
        <v>47</v>
      </c>
      <c r="C35" s="2" t="s">
        <v>35</v>
      </c>
      <c r="D35" s="2" t="s">
        <v>36</v>
      </c>
      <c r="E35" s="2" t="s">
        <v>21</v>
      </c>
      <c r="F35" s="2">
        <v>302</v>
      </c>
      <c r="G35" s="2">
        <v>2</v>
      </c>
      <c r="H35" s="2">
        <v>3</v>
      </c>
      <c r="I35" s="2">
        <v>2</v>
      </c>
      <c r="J35" s="2">
        <v>4</v>
      </c>
      <c r="K35" s="2" t="s">
        <v>37</v>
      </c>
      <c r="L35" s="5" t="s">
        <v>31</v>
      </c>
      <c r="M35" s="5" t="s">
        <v>29</v>
      </c>
      <c r="N35" s="2" t="s">
        <v>32</v>
      </c>
      <c r="O35" s="2">
        <v>7.83</v>
      </c>
      <c r="P35" s="2">
        <v>14</v>
      </c>
      <c r="Q35" s="2">
        <v>40</v>
      </c>
      <c r="R35" s="2">
        <v>7.65</v>
      </c>
      <c r="S35" s="2">
        <v>5009.99</v>
      </c>
      <c r="T35" s="2">
        <v>4469.21</v>
      </c>
      <c r="U35" s="2">
        <v>70.88</v>
      </c>
      <c r="V35" s="2">
        <v>49.58</v>
      </c>
      <c r="W35" s="3">
        <v>0</v>
      </c>
    </row>
    <row r="36" spans="1:23" x14ac:dyDescent="0.25">
      <c r="A36" s="2">
        <v>2024</v>
      </c>
      <c r="B36" s="2" t="s">
        <v>47</v>
      </c>
      <c r="C36" s="2" t="s">
        <v>35</v>
      </c>
      <c r="D36" s="2" t="s">
        <v>36</v>
      </c>
      <c r="E36" s="2" t="s">
        <v>21</v>
      </c>
      <c r="F36" s="2">
        <v>303</v>
      </c>
      <c r="G36" s="2">
        <v>3</v>
      </c>
      <c r="H36" s="2">
        <v>3</v>
      </c>
      <c r="I36" s="2">
        <v>3</v>
      </c>
      <c r="J36" s="2">
        <v>5</v>
      </c>
      <c r="K36" s="2" t="s">
        <v>37</v>
      </c>
      <c r="L36" s="5" t="s">
        <v>28</v>
      </c>
      <c r="M36" s="5" t="s">
        <v>29</v>
      </c>
      <c r="N36" s="2" t="s">
        <v>30</v>
      </c>
      <c r="O36" s="2">
        <v>8.16</v>
      </c>
      <c r="P36" s="2">
        <v>13.7</v>
      </c>
      <c r="Q36" s="2">
        <v>39.4</v>
      </c>
      <c r="R36" s="2">
        <v>8</v>
      </c>
      <c r="S36" s="2">
        <v>5239.3500000000004</v>
      </c>
      <c r="T36" s="2">
        <v>4673.82</v>
      </c>
      <c r="U36" s="2">
        <v>71.92</v>
      </c>
      <c r="V36" s="2">
        <v>50.21</v>
      </c>
      <c r="W36" s="3">
        <v>1</v>
      </c>
    </row>
    <row r="37" spans="1:23" x14ac:dyDescent="0.25">
      <c r="A37" s="2">
        <v>2024</v>
      </c>
      <c r="B37" s="2" t="s">
        <v>47</v>
      </c>
      <c r="C37" s="2" t="s">
        <v>35</v>
      </c>
      <c r="D37" s="2" t="s">
        <v>36</v>
      </c>
      <c r="E37" s="2" t="s">
        <v>21</v>
      </c>
      <c r="F37" s="2">
        <v>304</v>
      </c>
      <c r="G37" s="2">
        <v>4</v>
      </c>
      <c r="H37" s="2">
        <v>3</v>
      </c>
      <c r="I37" s="2">
        <v>4</v>
      </c>
      <c r="J37" s="2">
        <v>6</v>
      </c>
      <c r="K37" s="2" t="s">
        <v>37</v>
      </c>
      <c r="L37" s="5" t="s">
        <v>28</v>
      </c>
      <c r="M37" s="5" t="s">
        <v>29</v>
      </c>
      <c r="N37" s="2" t="s">
        <v>33</v>
      </c>
      <c r="O37" s="2">
        <v>7.72</v>
      </c>
      <c r="P37" s="2">
        <v>13.8</v>
      </c>
      <c r="Q37" s="2">
        <v>39.9</v>
      </c>
      <c r="R37" s="2">
        <v>7.56</v>
      </c>
      <c r="S37" s="2">
        <v>4951.09</v>
      </c>
      <c r="T37" s="2">
        <v>4416.68</v>
      </c>
      <c r="U37" s="2">
        <v>71.83</v>
      </c>
      <c r="V37" s="2">
        <v>49.66</v>
      </c>
      <c r="W37" s="3">
        <v>0</v>
      </c>
    </row>
    <row r="38" spans="1:23" x14ac:dyDescent="0.25">
      <c r="A38" s="2">
        <v>2024</v>
      </c>
      <c r="B38" s="2" t="s">
        <v>47</v>
      </c>
      <c r="C38" s="2" t="s">
        <v>35</v>
      </c>
      <c r="D38" s="2" t="s">
        <v>36</v>
      </c>
      <c r="E38" s="2" t="s">
        <v>21</v>
      </c>
      <c r="F38" s="2">
        <v>401</v>
      </c>
      <c r="G38" s="2">
        <v>1</v>
      </c>
      <c r="H38" s="2">
        <v>4</v>
      </c>
      <c r="I38" s="2">
        <v>1</v>
      </c>
      <c r="J38" s="2">
        <v>3</v>
      </c>
      <c r="K38" s="2" t="s">
        <v>37</v>
      </c>
      <c r="L38" s="5" t="s">
        <v>31</v>
      </c>
      <c r="M38" s="5" t="s">
        <v>29</v>
      </c>
      <c r="N38" s="2" t="s">
        <v>33</v>
      </c>
      <c r="O38" s="2">
        <v>7.64</v>
      </c>
      <c r="P38" s="2">
        <v>13.9</v>
      </c>
      <c r="Q38" s="2">
        <v>38.799999999999997</v>
      </c>
      <c r="R38" s="2">
        <v>7.48</v>
      </c>
      <c r="S38" s="2">
        <v>4894.1000000000004</v>
      </c>
      <c r="T38" s="2">
        <v>4365.84</v>
      </c>
      <c r="U38" s="2">
        <v>70.430000000000007</v>
      </c>
      <c r="V38" s="2">
        <v>48.99</v>
      </c>
      <c r="W38" s="3">
        <v>1</v>
      </c>
    </row>
    <row r="39" spans="1:23" x14ac:dyDescent="0.25">
      <c r="A39" s="2">
        <v>2024</v>
      </c>
      <c r="B39" s="2" t="s">
        <v>47</v>
      </c>
      <c r="C39" s="2" t="s">
        <v>35</v>
      </c>
      <c r="D39" s="2" t="s">
        <v>36</v>
      </c>
      <c r="E39" s="2" t="s">
        <v>21</v>
      </c>
      <c r="F39" s="2">
        <v>402</v>
      </c>
      <c r="G39" s="2">
        <v>2</v>
      </c>
      <c r="H39" s="2">
        <v>4</v>
      </c>
      <c r="I39" s="2">
        <v>2</v>
      </c>
      <c r="J39" s="2">
        <v>5</v>
      </c>
      <c r="K39" s="2" t="s">
        <v>37</v>
      </c>
      <c r="L39" s="5" t="s">
        <v>28</v>
      </c>
      <c r="M39" s="5" t="s">
        <v>29</v>
      </c>
      <c r="N39" s="2" t="s">
        <v>30</v>
      </c>
      <c r="O39" s="2">
        <v>8.19</v>
      </c>
      <c r="P39" s="2">
        <v>13.6</v>
      </c>
      <c r="Q39" s="2">
        <v>39.799999999999997</v>
      </c>
      <c r="R39" s="2">
        <v>8.0399999999999991</v>
      </c>
      <c r="S39" s="2">
        <v>5264.71</v>
      </c>
      <c r="T39" s="2">
        <v>4696.4399999999996</v>
      </c>
      <c r="U39" s="2">
        <v>71.55</v>
      </c>
      <c r="V39" s="2">
        <v>50.93</v>
      </c>
      <c r="W39" s="3">
        <v>0</v>
      </c>
    </row>
    <row r="40" spans="1:23" x14ac:dyDescent="0.25">
      <c r="A40" s="2">
        <v>2024</v>
      </c>
      <c r="B40" s="2" t="s">
        <v>47</v>
      </c>
      <c r="C40" s="2" t="s">
        <v>35</v>
      </c>
      <c r="D40" s="2" t="s">
        <v>36</v>
      </c>
      <c r="E40" s="2" t="s">
        <v>21</v>
      </c>
      <c r="F40" s="2">
        <v>403</v>
      </c>
      <c r="G40" s="2">
        <v>3</v>
      </c>
      <c r="H40" s="2">
        <v>4</v>
      </c>
      <c r="I40" s="2">
        <v>3</v>
      </c>
      <c r="J40" s="2">
        <v>3</v>
      </c>
      <c r="K40" s="2" t="s">
        <v>37</v>
      </c>
      <c r="L40" s="5" t="s">
        <v>31</v>
      </c>
      <c r="M40" s="5" t="s">
        <v>29</v>
      </c>
      <c r="N40" s="2" t="s">
        <v>33</v>
      </c>
      <c r="O40" s="2">
        <v>8.36</v>
      </c>
      <c r="P40" s="2">
        <v>13.8</v>
      </c>
      <c r="Q40" s="2">
        <v>38.299999999999997</v>
      </c>
      <c r="R40" s="2">
        <v>8.19</v>
      </c>
      <c r="S40" s="2">
        <v>5361.55</v>
      </c>
      <c r="T40" s="2">
        <v>4782.82</v>
      </c>
      <c r="U40" s="2">
        <v>71.86</v>
      </c>
      <c r="V40" s="2">
        <v>50.79</v>
      </c>
      <c r="W40" s="3">
        <v>1</v>
      </c>
    </row>
    <row r="41" spans="1:23" x14ac:dyDescent="0.25">
      <c r="A41" s="2">
        <v>2024</v>
      </c>
      <c r="B41" s="2" t="s">
        <v>47</v>
      </c>
      <c r="C41" s="2" t="s">
        <v>35</v>
      </c>
      <c r="D41" s="2" t="s">
        <v>36</v>
      </c>
      <c r="E41" s="2" t="s">
        <v>21</v>
      </c>
      <c r="F41" s="2">
        <v>404</v>
      </c>
      <c r="G41" s="2">
        <v>4</v>
      </c>
      <c r="H41" s="2">
        <v>4</v>
      </c>
      <c r="I41" s="2">
        <v>4</v>
      </c>
      <c r="J41" s="2">
        <v>1</v>
      </c>
      <c r="K41" s="2" t="s">
        <v>37</v>
      </c>
      <c r="L41" s="5" t="s">
        <v>34</v>
      </c>
      <c r="M41" s="5" t="s">
        <v>34</v>
      </c>
      <c r="N41" s="2" t="s">
        <v>34</v>
      </c>
      <c r="O41" s="2">
        <v>7.82</v>
      </c>
      <c r="P41" s="2">
        <v>13.8</v>
      </c>
      <c r="Q41" s="2">
        <v>40.1</v>
      </c>
      <c r="R41" s="2">
        <v>7.66</v>
      </c>
      <c r="S41" s="2">
        <v>5015.2299999999996</v>
      </c>
      <c r="T41" s="2">
        <v>4473.8900000000003</v>
      </c>
      <c r="U41" s="2">
        <v>71.290000000000006</v>
      </c>
      <c r="V41" s="2">
        <v>50.96</v>
      </c>
      <c r="W41" s="3">
        <v>1</v>
      </c>
    </row>
    <row r="42" spans="1:23" x14ac:dyDescent="0.25">
      <c r="A42" s="2">
        <v>2024</v>
      </c>
      <c r="B42" s="2" t="s">
        <v>47</v>
      </c>
      <c r="C42" s="2" t="s">
        <v>35</v>
      </c>
      <c r="D42" s="2" t="s">
        <v>36</v>
      </c>
      <c r="E42" s="2" t="s">
        <v>21</v>
      </c>
      <c r="F42" s="2">
        <v>501</v>
      </c>
      <c r="G42" s="2">
        <v>1</v>
      </c>
      <c r="H42" s="2">
        <v>5</v>
      </c>
      <c r="I42" s="2">
        <v>1</v>
      </c>
      <c r="J42" s="2">
        <v>2</v>
      </c>
      <c r="K42" s="2" t="s">
        <v>37</v>
      </c>
      <c r="L42" s="5" t="s">
        <v>31</v>
      </c>
      <c r="M42" s="5" t="s">
        <v>29</v>
      </c>
      <c r="N42" s="2" t="s">
        <v>30</v>
      </c>
      <c r="O42" s="2">
        <v>8.39</v>
      </c>
      <c r="P42" s="2">
        <v>13.8</v>
      </c>
      <c r="Q42" s="2">
        <v>39</v>
      </c>
      <c r="R42" s="2">
        <v>8.2200000000000006</v>
      </c>
      <c r="S42" s="2">
        <v>5380.79</v>
      </c>
      <c r="T42" s="2">
        <v>4799.99</v>
      </c>
      <c r="U42" s="2">
        <v>71.790000000000006</v>
      </c>
      <c r="V42" s="2">
        <v>50.32</v>
      </c>
      <c r="W42" s="3">
        <v>0</v>
      </c>
    </row>
    <row r="43" spans="1:23" x14ac:dyDescent="0.25">
      <c r="A43" s="2">
        <v>2024</v>
      </c>
      <c r="B43" s="2" t="s">
        <v>47</v>
      </c>
      <c r="C43" s="2" t="s">
        <v>35</v>
      </c>
      <c r="D43" s="2" t="s">
        <v>36</v>
      </c>
      <c r="E43" s="2" t="s">
        <v>21</v>
      </c>
      <c r="F43" s="2">
        <v>502</v>
      </c>
      <c r="G43" s="2">
        <v>2</v>
      </c>
      <c r="H43" s="2">
        <v>5</v>
      </c>
      <c r="I43" s="2">
        <v>2</v>
      </c>
      <c r="J43" s="2">
        <v>2</v>
      </c>
      <c r="K43" s="2" t="s">
        <v>37</v>
      </c>
      <c r="L43" s="5" t="s">
        <v>31</v>
      </c>
      <c r="M43" s="5" t="s">
        <v>29</v>
      </c>
      <c r="N43" s="2" t="s">
        <v>30</v>
      </c>
      <c r="O43" s="2">
        <v>8.5500000000000007</v>
      </c>
      <c r="P43" s="2">
        <v>13.8</v>
      </c>
      <c r="Q43" s="2">
        <v>39.4</v>
      </c>
      <c r="R43" s="2">
        <v>8.3800000000000008</v>
      </c>
      <c r="S43" s="2">
        <v>5483.4</v>
      </c>
      <c r="T43" s="2">
        <v>4891.53</v>
      </c>
      <c r="U43" s="2">
        <v>71.5</v>
      </c>
      <c r="V43" s="2">
        <v>50.59</v>
      </c>
      <c r="W43" s="3">
        <v>1</v>
      </c>
    </row>
    <row r="44" spans="1:23" x14ac:dyDescent="0.25">
      <c r="A44" s="2">
        <v>2024</v>
      </c>
      <c r="B44" s="2" t="s">
        <v>47</v>
      </c>
      <c r="C44" s="2" t="s">
        <v>35</v>
      </c>
      <c r="D44" s="2" t="s">
        <v>36</v>
      </c>
      <c r="E44" s="2" t="s">
        <v>21</v>
      </c>
      <c r="F44" s="2">
        <v>503</v>
      </c>
      <c r="G44" s="2">
        <v>3</v>
      </c>
      <c r="H44" s="2">
        <v>5</v>
      </c>
      <c r="I44" s="2">
        <v>3</v>
      </c>
      <c r="J44" s="2">
        <v>1</v>
      </c>
      <c r="K44" s="2" t="s">
        <v>37</v>
      </c>
      <c r="L44" s="5" t="s">
        <v>34</v>
      </c>
      <c r="M44" s="5" t="s">
        <v>34</v>
      </c>
      <c r="N44" s="2" t="s">
        <v>34</v>
      </c>
      <c r="O44" s="2">
        <v>8</v>
      </c>
      <c r="P44" s="2">
        <v>13.5</v>
      </c>
      <c r="Q44" s="2">
        <v>37.799999999999997</v>
      </c>
      <c r="R44" s="2">
        <v>7.86</v>
      </c>
      <c r="S44" s="2">
        <v>5148.5200000000004</v>
      </c>
      <c r="T44" s="2">
        <v>4592.79</v>
      </c>
      <c r="U44" s="2">
        <v>70.77</v>
      </c>
      <c r="V44" s="2">
        <v>49.65</v>
      </c>
      <c r="W44" s="3">
        <v>2</v>
      </c>
    </row>
    <row r="45" spans="1:23" x14ac:dyDescent="0.25">
      <c r="A45" s="2">
        <v>2024</v>
      </c>
      <c r="B45" s="2" t="s">
        <v>47</v>
      </c>
      <c r="C45" s="2" t="s">
        <v>35</v>
      </c>
      <c r="D45" s="2" t="s">
        <v>36</v>
      </c>
      <c r="E45" s="2" t="s">
        <v>21</v>
      </c>
      <c r="F45" s="2">
        <v>504</v>
      </c>
      <c r="G45" s="2">
        <v>4</v>
      </c>
      <c r="H45" s="2">
        <v>5</v>
      </c>
      <c r="I45" s="2">
        <v>4</v>
      </c>
      <c r="J45" s="2">
        <v>4</v>
      </c>
      <c r="K45" s="2" t="s">
        <v>37</v>
      </c>
      <c r="L45" s="5" t="s">
        <v>31</v>
      </c>
      <c r="M45" s="5" t="s">
        <v>29</v>
      </c>
      <c r="N45" s="2" t="s">
        <v>32</v>
      </c>
      <c r="O45" s="2">
        <v>8.61</v>
      </c>
      <c r="P45" s="2">
        <v>13.8</v>
      </c>
      <c r="Q45" s="2">
        <v>39.299999999999997</v>
      </c>
      <c r="R45" s="2">
        <v>8.43</v>
      </c>
      <c r="S45" s="2">
        <v>5521.88</v>
      </c>
      <c r="T45" s="2">
        <v>4925.8500000000004</v>
      </c>
      <c r="U45" s="2">
        <v>71.37</v>
      </c>
      <c r="V45" s="2">
        <v>50.19</v>
      </c>
      <c r="W45" s="3">
        <v>1</v>
      </c>
    </row>
    <row r="46" spans="1:23" x14ac:dyDescent="0.25">
      <c r="A46" s="2">
        <v>2024</v>
      </c>
      <c r="B46" s="2" t="s">
        <v>47</v>
      </c>
      <c r="C46" s="2" t="s">
        <v>35</v>
      </c>
      <c r="D46" s="2" t="s">
        <v>36</v>
      </c>
      <c r="E46" s="2" t="s">
        <v>21</v>
      </c>
      <c r="F46" s="2">
        <v>601</v>
      </c>
      <c r="G46" s="2">
        <v>1</v>
      </c>
      <c r="H46" s="2">
        <v>6</v>
      </c>
      <c r="I46" s="2">
        <v>1</v>
      </c>
      <c r="J46" s="2">
        <v>4</v>
      </c>
      <c r="K46" s="2" t="s">
        <v>37</v>
      </c>
      <c r="L46" s="5" t="s">
        <v>31</v>
      </c>
      <c r="M46" s="5" t="s">
        <v>29</v>
      </c>
      <c r="N46" s="2" t="s">
        <v>32</v>
      </c>
      <c r="O46" s="2">
        <v>8.98</v>
      </c>
      <c r="P46" s="2">
        <v>14.5</v>
      </c>
      <c r="Q46" s="2">
        <v>40.5</v>
      </c>
      <c r="R46" s="2">
        <v>8.7200000000000006</v>
      </c>
      <c r="S46" s="2">
        <v>5712.4</v>
      </c>
      <c r="T46" s="2">
        <v>5095.8100000000004</v>
      </c>
      <c r="U46" s="2">
        <v>72.040000000000006</v>
      </c>
      <c r="V46" s="2">
        <v>49.72</v>
      </c>
      <c r="W46" s="3">
        <v>2</v>
      </c>
    </row>
    <row r="47" spans="1:23" x14ac:dyDescent="0.25">
      <c r="A47" s="2">
        <v>2024</v>
      </c>
      <c r="B47" s="2" t="s">
        <v>47</v>
      </c>
      <c r="C47" s="2" t="s">
        <v>35</v>
      </c>
      <c r="D47" s="2" t="s">
        <v>36</v>
      </c>
      <c r="E47" s="2" t="s">
        <v>21</v>
      </c>
      <c r="F47" s="2">
        <v>602</v>
      </c>
      <c r="G47" s="2">
        <v>2</v>
      </c>
      <c r="H47" s="2">
        <v>6</v>
      </c>
      <c r="I47" s="2">
        <v>2</v>
      </c>
      <c r="J47" s="2">
        <v>1</v>
      </c>
      <c r="K47" s="2" t="s">
        <v>37</v>
      </c>
      <c r="L47" s="5" t="s">
        <v>34</v>
      </c>
      <c r="M47" s="5" t="s">
        <v>34</v>
      </c>
      <c r="N47" s="2" t="s">
        <v>34</v>
      </c>
      <c r="O47" s="2">
        <v>7.95</v>
      </c>
      <c r="P47" s="2">
        <v>14</v>
      </c>
      <c r="Q47" s="2">
        <v>40.299999999999997</v>
      </c>
      <c r="R47" s="2">
        <v>7.77</v>
      </c>
      <c r="S47" s="2">
        <v>5086.7700000000004</v>
      </c>
      <c r="T47" s="2">
        <v>4537.71</v>
      </c>
      <c r="U47" s="2">
        <v>70.5</v>
      </c>
      <c r="V47" s="2">
        <v>49.75</v>
      </c>
      <c r="W47" s="3">
        <v>1</v>
      </c>
    </row>
    <row r="48" spans="1:23" x14ac:dyDescent="0.25">
      <c r="A48" s="2">
        <v>2024</v>
      </c>
      <c r="B48" s="2" t="s">
        <v>47</v>
      </c>
      <c r="C48" s="2" t="s">
        <v>35</v>
      </c>
      <c r="D48" s="2" t="s">
        <v>36</v>
      </c>
      <c r="E48" s="2" t="s">
        <v>21</v>
      </c>
      <c r="F48" s="2">
        <v>603</v>
      </c>
      <c r="G48" s="2">
        <v>3</v>
      </c>
      <c r="H48" s="2">
        <v>6</v>
      </c>
      <c r="I48" s="2">
        <v>3</v>
      </c>
      <c r="J48" s="2">
        <v>4</v>
      </c>
      <c r="K48" s="2" t="s">
        <v>37</v>
      </c>
      <c r="L48" s="5" t="s">
        <v>31</v>
      </c>
      <c r="M48" s="5" t="s">
        <v>29</v>
      </c>
      <c r="N48" s="2" t="s">
        <v>32</v>
      </c>
      <c r="O48" s="2">
        <v>8.69</v>
      </c>
      <c r="P48" s="2">
        <v>13.5</v>
      </c>
      <c r="Q48" s="2">
        <v>37.700000000000003</v>
      </c>
      <c r="R48" s="2">
        <v>8.5399999999999991</v>
      </c>
      <c r="S48" s="2">
        <v>5592.58</v>
      </c>
      <c r="T48" s="2">
        <v>4988.92</v>
      </c>
      <c r="U48" s="2">
        <v>71.650000000000006</v>
      </c>
      <c r="V48" s="2">
        <v>50.7</v>
      </c>
      <c r="W48" s="3">
        <v>1</v>
      </c>
    </row>
    <row r="49" spans="1:23" x14ac:dyDescent="0.25">
      <c r="A49" s="2">
        <v>2024</v>
      </c>
      <c r="B49" s="2" t="s">
        <v>47</v>
      </c>
      <c r="C49" s="2" t="s">
        <v>35</v>
      </c>
      <c r="D49" s="2" t="s">
        <v>36</v>
      </c>
      <c r="E49" s="2" t="s">
        <v>21</v>
      </c>
      <c r="F49" s="2">
        <v>604</v>
      </c>
      <c r="G49" s="2">
        <v>4</v>
      </c>
      <c r="H49" s="2">
        <v>6</v>
      </c>
      <c r="I49" s="2">
        <v>4</v>
      </c>
      <c r="J49" s="2">
        <v>3</v>
      </c>
      <c r="K49" s="2" t="s">
        <v>37</v>
      </c>
      <c r="L49" s="5" t="s">
        <v>31</v>
      </c>
      <c r="M49" s="5" t="s">
        <v>29</v>
      </c>
      <c r="N49" s="2" t="s">
        <v>33</v>
      </c>
      <c r="O49" s="2">
        <v>9.39</v>
      </c>
      <c r="P49" s="2">
        <v>13.7</v>
      </c>
      <c r="Q49" s="2">
        <v>40.299999999999997</v>
      </c>
      <c r="R49" s="2">
        <v>9.2100000000000009</v>
      </c>
      <c r="S49" s="2">
        <v>6029.11</v>
      </c>
      <c r="T49" s="2">
        <v>5378.33</v>
      </c>
      <c r="U49" s="2">
        <v>70.349999999999994</v>
      </c>
      <c r="V49" s="2">
        <v>47.7</v>
      </c>
      <c r="W49" s="3">
        <v>0</v>
      </c>
    </row>
    <row r="50" spans="1:23" x14ac:dyDescent="0.25">
      <c r="A50" s="2">
        <v>2024</v>
      </c>
      <c r="B50" s="2" t="s">
        <v>48</v>
      </c>
      <c r="C50" s="2" t="s">
        <v>38</v>
      </c>
      <c r="D50" s="2" t="s">
        <v>39</v>
      </c>
      <c r="E50" s="2" t="s">
        <v>22</v>
      </c>
      <c r="F50" s="2">
        <v>101</v>
      </c>
      <c r="G50" s="2">
        <v>1</v>
      </c>
      <c r="H50" s="2">
        <v>1</v>
      </c>
      <c r="I50" s="2">
        <v>1</v>
      </c>
      <c r="J50" s="2">
        <v>5</v>
      </c>
      <c r="K50" s="3" t="s">
        <v>37</v>
      </c>
      <c r="L50" s="5" t="s">
        <v>28</v>
      </c>
      <c r="M50" s="2" t="s">
        <v>29</v>
      </c>
      <c r="N50" s="2" t="s">
        <v>30</v>
      </c>
      <c r="O50" s="3">
        <v>9.1300000000000008</v>
      </c>
      <c r="P50" s="3">
        <v>13.9</v>
      </c>
      <c r="Q50" s="3">
        <v>43.6</v>
      </c>
      <c r="R50" s="7">
        <f xml:space="preserve"> O50 * (1 - P50 / 100) / (1 - 0.12)</f>
        <v>8.932875000000001</v>
      </c>
      <c r="S50" s="8">
        <f>((10000 * R50 * 12% / 2.205)) / ((4.66 * 16) / 10.764)</f>
        <v>701.82962906192517</v>
      </c>
      <c r="T50" s="8">
        <v>5955.8604130000003</v>
      </c>
      <c r="U50" s="6">
        <v>73.8</v>
      </c>
      <c r="V50" s="6">
        <v>51.97</v>
      </c>
      <c r="W50" s="3">
        <v>5</v>
      </c>
    </row>
    <row r="51" spans="1:23" x14ac:dyDescent="0.25">
      <c r="A51" s="2">
        <v>2024</v>
      </c>
      <c r="B51" s="2" t="s">
        <v>48</v>
      </c>
      <c r="C51" s="2" t="s">
        <v>38</v>
      </c>
      <c r="D51" s="2" t="s">
        <v>39</v>
      </c>
      <c r="E51" s="2" t="s">
        <v>22</v>
      </c>
      <c r="F51" s="2">
        <v>102</v>
      </c>
      <c r="G51" s="2">
        <v>2</v>
      </c>
      <c r="H51" s="2">
        <v>1</v>
      </c>
      <c r="I51" s="2">
        <v>1</v>
      </c>
      <c r="J51" s="2">
        <v>6</v>
      </c>
      <c r="K51" s="3" t="s">
        <v>37</v>
      </c>
      <c r="L51" s="5" t="s">
        <v>28</v>
      </c>
      <c r="M51" s="2" t="s">
        <v>29</v>
      </c>
      <c r="N51" s="2" t="s">
        <v>33</v>
      </c>
      <c r="O51" s="3">
        <v>9.4700000000000006</v>
      </c>
      <c r="P51" s="3">
        <v>13.4</v>
      </c>
      <c r="Q51" s="3">
        <v>43.8</v>
      </c>
      <c r="R51" s="7">
        <f t="shared" ref="R51:R67" si="0" xml:space="preserve"> O51 * (1 - P51 / 100) / (1 - 0.12)</f>
        <v>9.3193409090909096</v>
      </c>
      <c r="S51" s="8">
        <f t="shared" ref="S51:S67" si="1">((10000 * R51 * 12% / 2.205)) / ((4.66 * 16) / 10.764)</f>
        <v>732.19311513134312</v>
      </c>
      <c r="T51" s="8">
        <v>6213.530761</v>
      </c>
      <c r="U51" s="6">
        <v>73.95</v>
      </c>
      <c r="V51" s="6">
        <v>50.17</v>
      </c>
      <c r="W51" s="3">
        <v>6</v>
      </c>
    </row>
    <row r="52" spans="1:23" x14ac:dyDescent="0.25">
      <c r="A52" s="2">
        <v>2024</v>
      </c>
      <c r="B52" s="2" t="s">
        <v>48</v>
      </c>
      <c r="C52" s="2" t="s">
        <v>38</v>
      </c>
      <c r="D52" s="2" t="s">
        <v>39</v>
      </c>
      <c r="E52" s="2" t="s">
        <v>22</v>
      </c>
      <c r="F52" s="2">
        <v>103</v>
      </c>
      <c r="G52" s="2">
        <v>3</v>
      </c>
      <c r="H52" s="2">
        <v>1</v>
      </c>
      <c r="I52" s="2">
        <v>1</v>
      </c>
      <c r="J52" s="2">
        <v>2</v>
      </c>
      <c r="K52" s="3" t="s">
        <v>37</v>
      </c>
      <c r="L52" s="5" t="s">
        <v>31</v>
      </c>
      <c r="M52" s="2" t="s">
        <v>29</v>
      </c>
      <c r="N52" s="2" t="s">
        <v>30</v>
      </c>
      <c r="O52" s="3">
        <v>9.33</v>
      </c>
      <c r="P52" s="3">
        <v>17</v>
      </c>
      <c r="Q52" s="3">
        <v>42</v>
      </c>
      <c r="R52" s="7">
        <f t="shared" si="0"/>
        <v>8.7998863636363645</v>
      </c>
      <c r="S52" s="8">
        <f t="shared" si="1"/>
        <v>691.38110433404734</v>
      </c>
      <c r="T52" s="8">
        <v>5867.1922350000004</v>
      </c>
      <c r="U52" s="6">
        <v>75.010000000000005</v>
      </c>
      <c r="V52" s="6">
        <v>54.23</v>
      </c>
      <c r="W52" s="3">
        <v>4</v>
      </c>
    </row>
    <row r="53" spans="1:23" x14ac:dyDescent="0.25">
      <c r="A53" s="2">
        <v>2024</v>
      </c>
      <c r="B53" s="2" t="s">
        <v>48</v>
      </c>
      <c r="C53" s="2" t="s">
        <v>38</v>
      </c>
      <c r="D53" s="2" t="s">
        <v>39</v>
      </c>
      <c r="E53" s="2" t="s">
        <v>22</v>
      </c>
      <c r="F53" s="2">
        <v>104</v>
      </c>
      <c r="G53" s="2">
        <v>4</v>
      </c>
      <c r="H53" s="2">
        <v>1</v>
      </c>
      <c r="I53" s="2">
        <v>2</v>
      </c>
      <c r="J53" s="2">
        <v>6</v>
      </c>
      <c r="K53" s="3" t="s">
        <v>37</v>
      </c>
      <c r="L53" s="5" t="s">
        <v>28</v>
      </c>
      <c r="M53" s="2" t="s">
        <v>29</v>
      </c>
      <c r="N53" s="2" t="s">
        <v>33</v>
      </c>
      <c r="O53" s="3">
        <v>9.61</v>
      </c>
      <c r="P53" s="3">
        <v>13.8</v>
      </c>
      <c r="Q53" s="3">
        <v>43.6</v>
      </c>
      <c r="R53" s="7">
        <f t="shared" si="0"/>
        <v>9.4134318181818166</v>
      </c>
      <c r="S53" s="8">
        <f t="shared" si="1"/>
        <v>739.5855602092571</v>
      </c>
      <c r="T53" s="8">
        <v>6276.2644630000004</v>
      </c>
      <c r="U53" s="6">
        <v>75.040000000000006</v>
      </c>
      <c r="V53" s="6">
        <v>52.16</v>
      </c>
      <c r="W53" s="3">
        <v>5</v>
      </c>
    </row>
    <row r="54" spans="1:23" x14ac:dyDescent="0.25">
      <c r="A54" s="2">
        <v>2024</v>
      </c>
      <c r="B54" s="2" t="s">
        <v>48</v>
      </c>
      <c r="C54" s="2" t="s">
        <v>38</v>
      </c>
      <c r="D54" s="2" t="s">
        <v>39</v>
      </c>
      <c r="E54" s="2" t="s">
        <v>22</v>
      </c>
      <c r="F54" s="2">
        <v>105</v>
      </c>
      <c r="G54" s="2">
        <v>5</v>
      </c>
      <c r="H54" s="2">
        <v>1</v>
      </c>
      <c r="I54" s="2">
        <v>2</v>
      </c>
      <c r="J54" s="2">
        <v>4</v>
      </c>
      <c r="K54" s="3" t="s">
        <v>37</v>
      </c>
      <c r="L54" s="5" t="s">
        <v>31</v>
      </c>
      <c r="M54" s="2" t="s">
        <v>29</v>
      </c>
      <c r="N54" s="2" t="s">
        <v>32</v>
      </c>
      <c r="O54" s="3">
        <v>9.84</v>
      </c>
      <c r="P54" s="3">
        <v>16.600000000000001</v>
      </c>
      <c r="Q54" s="3">
        <v>42.2</v>
      </c>
      <c r="R54" s="7">
        <f t="shared" si="0"/>
        <v>9.3256363636363631</v>
      </c>
      <c r="S54" s="8">
        <f t="shared" si="1"/>
        <v>732.68773041795725</v>
      </c>
      <c r="T54" s="8">
        <v>6217.728161</v>
      </c>
      <c r="U54" s="6">
        <v>74.95</v>
      </c>
      <c r="V54" s="6">
        <v>53.48</v>
      </c>
      <c r="W54" s="3">
        <v>3</v>
      </c>
    </row>
    <row r="55" spans="1:23" x14ac:dyDescent="0.25">
      <c r="A55" s="2">
        <v>2024</v>
      </c>
      <c r="B55" s="2" t="s">
        <v>48</v>
      </c>
      <c r="C55" s="2" t="s">
        <v>38</v>
      </c>
      <c r="D55" s="2" t="s">
        <v>39</v>
      </c>
      <c r="E55" s="2" t="s">
        <v>22</v>
      </c>
      <c r="F55" s="2">
        <v>106</v>
      </c>
      <c r="G55" s="2">
        <v>6</v>
      </c>
      <c r="H55" s="2">
        <v>1</v>
      </c>
      <c r="I55" s="2">
        <v>2</v>
      </c>
      <c r="J55" s="2">
        <v>2</v>
      </c>
      <c r="K55" s="3" t="s">
        <v>37</v>
      </c>
      <c r="L55" s="5" t="s">
        <v>31</v>
      </c>
      <c r="M55" s="2" t="s">
        <v>29</v>
      </c>
      <c r="N55" s="2" t="s">
        <v>30</v>
      </c>
      <c r="O55" s="3">
        <v>10.63</v>
      </c>
      <c r="P55" s="3">
        <v>13.7</v>
      </c>
      <c r="Q55" s="3">
        <v>43.8</v>
      </c>
      <c r="R55" s="7">
        <f t="shared" si="0"/>
        <v>10.424647727272728</v>
      </c>
      <c r="S55" s="8">
        <f t="shared" si="1"/>
        <v>819.03381022717315</v>
      </c>
      <c r="T55" s="8">
        <v>6950.4775019999997</v>
      </c>
      <c r="U55" s="6">
        <v>75.73</v>
      </c>
      <c r="V55" s="6">
        <v>56.56</v>
      </c>
      <c r="W55" s="3">
        <v>4</v>
      </c>
    </row>
    <row r="56" spans="1:23" x14ac:dyDescent="0.25">
      <c r="A56" s="2">
        <v>2024</v>
      </c>
      <c r="B56" s="2" t="s">
        <v>48</v>
      </c>
      <c r="C56" s="2" t="s">
        <v>38</v>
      </c>
      <c r="D56" s="2" t="s">
        <v>39</v>
      </c>
      <c r="E56" s="2" t="s">
        <v>22</v>
      </c>
      <c r="F56" s="2">
        <v>107</v>
      </c>
      <c r="G56" s="2">
        <v>7</v>
      </c>
      <c r="H56" s="2">
        <v>1</v>
      </c>
      <c r="I56" s="2">
        <v>3</v>
      </c>
      <c r="J56" s="2">
        <v>2</v>
      </c>
      <c r="K56" s="3" t="s">
        <v>37</v>
      </c>
      <c r="L56" s="5" t="s">
        <v>31</v>
      </c>
      <c r="M56" s="2" t="s">
        <v>29</v>
      </c>
      <c r="N56" s="2" t="s">
        <v>30</v>
      </c>
      <c r="O56" s="3">
        <v>9.3000000000000007</v>
      </c>
      <c r="P56" s="3">
        <v>15.8</v>
      </c>
      <c r="Q56" s="3">
        <v>42.4</v>
      </c>
      <c r="R56" s="7">
        <f t="shared" si="0"/>
        <v>8.8984090909090909</v>
      </c>
      <c r="S56" s="8">
        <f t="shared" si="1"/>
        <v>699.12174428881974</v>
      </c>
      <c r="T56" s="8">
        <v>5932.8807850000003</v>
      </c>
      <c r="U56" s="6">
        <v>74.8</v>
      </c>
      <c r="V56" s="6">
        <v>54.13</v>
      </c>
      <c r="W56" s="3">
        <v>3</v>
      </c>
    </row>
    <row r="57" spans="1:23" x14ac:dyDescent="0.25">
      <c r="A57" s="2">
        <v>2024</v>
      </c>
      <c r="B57" s="2" t="s">
        <v>48</v>
      </c>
      <c r="C57" s="2" t="s">
        <v>38</v>
      </c>
      <c r="D57" s="2" t="s">
        <v>39</v>
      </c>
      <c r="E57" s="2" t="s">
        <v>22</v>
      </c>
      <c r="F57" s="2">
        <v>108</v>
      </c>
      <c r="G57" s="2">
        <v>8</v>
      </c>
      <c r="H57" s="2">
        <v>1</v>
      </c>
      <c r="I57" s="2">
        <v>3</v>
      </c>
      <c r="J57" s="2">
        <v>5</v>
      </c>
      <c r="K57" s="3" t="s">
        <v>37</v>
      </c>
      <c r="L57" s="5" t="s">
        <v>28</v>
      </c>
      <c r="M57" s="2" t="s">
        <v>29</v>
      </c>
      <c r="N57" s="2" t="s">
        <v>30</v>
      </c>
      <c r="O57" s="3">
        <v>9.7200000000000006</v>
      </c>
      <c r="P57" s="3">
        <v>13.8</v>
      </c>
      <c r="Q57" s="3">
        <v>43.9</v>
      </c>
      <c r="R57" s="7">
        <f t="shared" si="0"/>
        <v>9.5211818181818195</v>
      </c>
      <c r="S57" s="8">
        <f t="shared" si="1"/>
        <v>748.05115975379613</v>
      </c>
      <c r="T57" s="8">
        <v>6348.1051600000001</v>
      </c>
      <c r="U57" s="6">
        <v>75.94</v>
      </c>
      <c r="V57" s="6">
        <v>57.65</v>
      </c>
      <c r="W57" s="3">
        <v>4</v>
      </c>
    </row>
    <row r="58" spans="1:23" x14ac:dyDescent="0.25">
      <c r="A58" s="2">
        <v>2024</v>
      </c>
      <c r="B58" s="2" t="s">
        <v>48</v>
      </c>
      <c r="C58" s="2" t="s">
        <v>38</v>
      </c>
      <c r="D58" s="2" t="s">
        <v>39</v>
      </c>
      <c r="E58" s="2" t="s">
        <v>22</v>
      </c>
      <c r="F58" s="2">
        <v>109</v>
      </c>
      <c r="G58" s="2">
        <v>9</v>
      </c>
      <c r="H58" s="2">
        <v>1</v>
      </c>
      <c r="I58" s="2">
        <v>3</v>
      </c>
      <c r="J58" s="2">
        <v>1</v>
      </c>
      <c r="K58" s="3" t="s">
        <v>37</v>
      </c>
      <c r="L58" s="5" t="s">
        <v>34</v>
      </c>
      <c r="M58" s="2" t="s">
        <v>34</v>
      </c>
      <c r="N58" s="2" t="s">
        <v>34</v>
      </c>
      <c r="O58" s="3">
        <v>8.36</v>
      </c>
      <c r="P58" s="3">
        <v>12.4</v>
      </c>
      <c r="Q58" s="3">
        <v>44.4</v>
      </c>
      <c r="R58" s="7">
        <f t="shared" si="0"/>
        <v>8.3219999999999992</v>
      </c>
      <c r="S58" s="8">
        <f t="shared" si="1"/>
        <v>653.83498292020647</v>
      </c>
      <c r="T58" s="8">
        <v>5548.5686699999997</v>
      </c>
      <c r="U58" s="6">
        <v>74.81</v>
      </c>
      <c r="V58" s="6">
        <v>51.5</v>
      </c>
      <c r="W58" s="3">
        <v>4</v>
      </c>
    </row>
    <row r="59" spans="1:23" x14ac:dyDescent="0.25">
      <c r="A59" s="2">
        <v>2024</v>
      </c>
      <c r="B59" s="2" t="s">
        <v>48</v>
      </c>
      <c r="C59" s="2" t="s">
        <v>38</v>
      </c>
      <c r="D59" s="2" t="s">
        <v>39</v>
      </c>
      <c r="E59" s="2" t="s">
        <v>22</v>
      </c>
      <c r="F59" s="2">
        <v>201</v>
      </c>
      <c r="G59" s="2">
        <v>1</v>
      </c>
      <c r="H59" s="2">
        <v>2</v>
      </c>
      <c r="I59" s="2">
        <v>1</v>
      </c>
      <c r="J59" s="2">
        <v>1</v>
      </c>
      <c r="K59" s="3" t="s">
        <v>37</v>
      </c>
      <c r="L59" s="5" t="s">
        <v>34</v>
      </c>
      <c r="M59" s="2" t="s">
        <v>34</v>
      </c>
      <c r="N59" s="2" t="s">
        <v>34</v>
      </c>
      <c r="O59" s="3">
        <v>9.75</v>
      </c>
      <c r="P59" s="3">
        <v>13.3</v>
      </c>
      <c r="Q59" s="3">
        <v>44</v>
      </c>
      <c r="R59" s="7">
        <f t="shared" si="0"/>
        <v>9.6059659090909104</v>
      </c>
      <c r="S59" s="8">
        <f t="shared" si="1"/>
        <v>754.71239559030789</v>
      </c>
      <c r="T59" s="8">
        <v>6404.6336799999999</v>
      </c>
      <c r="U59" s="6">
        <v>75.63</v>
      </c>
      <c r="V59" s="6">
        <v>57.23</v>
      </c>
      <c r="W59" s="3">
        <v>5</v>
      </c>
    </row>
    <row r="60" spans="1:23" x14ac:dyDescent="0.25">
      <c r="A60" s="2">
        <v>2024</v>
      </c>
      <c r="B60" s="2" t="s">
        <v>48</v>
      </c>
      <c r="C60" s="2" t="s">
        <v>38</v>
      </c>
      <c r="D60" s="2" t="s">
        <v>39</v>
      </c>
      <c r="E60" s="2" t="s">
        <v>22</v>
      </c>
      <c r="F60" s="2">
        <v>202</v>
      </c>
      <c r="G60" s="2">
        <v>2</v>
      </c>
      <c r="H60" s="2">
        <v>2</v>
      </c>
      <c r="I60" s="2">
        <v>1</v>
      </c>
      <c r="J60" s="2">
        <v>3</v>
      </c>
      <c r="K60" s="3" t="s">
        <v>37</v>
      </c>
      <c r="L60" s="5" t="s">
        <v>31</v>
      </c>
      <c r="M60" s="2" t="s">
        <v>29</v>
      </c>
      <c r="N60" s="2" t="s">
        <v>33</v>
      </c>
      <c r="O60" s="3">
        <v>9.89</v>
      </c>
      <c r="P60" s="3">
        <v>13.8</v>
      </c>
      <c r="Q60" s="3">
        <v>43.7</v>
      </c>
      <c r="R60" s="7">
        <f t="shared" si="0"/>
        <v>9.6877045454545456</v>
      </c>
      <c r="S60" s="8">
        <f t="shared" si="1"/>
        <v>761.1343590499016</v>
      </c>
      <c r="T60" s="8">
        <v>6459.1316900000002</v>
      </c>
      <c r="U60" s="6">
        <v>75.709999999999994</v>
      </c>
      <c r="V60" s="6">
        <v>55.62</v>
      </c>
      <c r="W60" s="3">
        <v>4</v>
      </c>
    </row>
    <row r="61" spans="1:23" x14ac:dyDescent="0.25">
      <c r="A61" s="2">
        <v>2024</v>
      </c>
      <c r="B61" s="2" t="s">
        <v>48</v>
      </c>
      <c r="C61" s="2" t="s">
        <v>38</v>
      </c>
      <c r="D61" s="2" t="s">
        <v>39</v>
      </c>
      <c r="E61" s="2" t="s">
        <v>22</v>
      </c>
      <c r="F61" s="2">
        <v>203</v>
      </c>
      <c r="G61" s="2">
        <v>3</v>
      </c>
      <c r="H61" s="2">
        <v>2</v>
      </c>
      <c r="I61" s="2">
        <v>1</v>
      </c>
      <c r="J61" s="2">
        <v>4</v>
      </c>
      <c r="K61" s="3" t="s">
        <v>37</v>
      </c>
      <c r="L61" s="5" t="s">
        <v>31</v>
      </c>
      <c r="M61" s="2" t="s">
        <v>29</v>
      </c>
      <c r="N61" s="2" t="s">
        <v>32</v>
      </c>
      <c r="O61" s="3">
        <v>9.14</v>
      </c>
      <c r="P61" s="3">
        <v>14.7</v>
      </c>
      <c r="Q61" s="3">
        <v>43.1</v>
      </c>
      <c r="R61" s="7">
        <f t="shared" si="0"/>
        <v>8.8595681818181813</v>
      </c>
      <c r="S61" s="8">
        <f t="shared" si="1"/>
        <v>696.0701286757386</v>
      </c>
      <c r="T61" s="8">
        <v>5906.9841919999999</v>
      </c>
      <c r="U61" s="6">
        <v>75.27</v>
      </c>
      <c r="V61" s="6">
        <v>52.95</v>
      </c>
      <c r="W61" s="3">
        <v>5</v>
      </c>
    </row>
    <row r="62" spans="1:23" x14ac:dyDescent="0.25">
      <c r="A62" s="2">
        <v>2024</v>
      </c>
      <c r="B62" s="2" t="s">
        <v>48</v>
      </c>
      <c r="C62" s="2" t="s">
        <v>38</v>
      </c>
      <c r="D62" s="2" t="s">
        <v>39</v>
      </c>
      <c r="E62" s="2" t="s">
        <v>22</v>
      </c>
      <c r="F62" s="2">
        <v>204</v>
      </c>
      <c r="G62" s="2">
        <v>4</v>
      </c>
      <c r="H62" s="2">
        <v>2</v>
      </c>
      <c r="I62" s="2">
        <v>2</v>
      </c>
      <c r="J62" s="2">
        <v>3</v>
      </c>
      <c r="K62" s="3" t="s">
        <v>37</v>
      </c>
      <c r="L62" s="5" t="s">
        <v>31</v>
      </c>
      <c r="M62" s="2" t="s">
        <v>29</v>
      </c>
      <c r="N62" s="2" t="s">
        <v>33</v>
      </c>
      <c r="O62" s="3">
        <v>8.6999999999999993</v>
      </c>
      <c r="P62" s="3">
        <v>13.6</v>
      </c>
      <c r="Q62" s="3">
        <v>43.8</v>
      </c>
      <c r="R62" s="7">
        <f t="shared" si="0"/>
        <v>8.5418181818181811</v>
      </c>
      <c r="S62" s="8">
        <f t="shared" si="1"/>
        <v>671.10544881237684</v>
      </c>
      <c r="T62" s="8">
        <v>5695.1291449999999</v>
      </c>
      <c r="U62" s="6">
        <v>75.86</v>
      </c>
      <c r="V62" s="6">
        <v>52.87</v>
      </c>
      <c r="W62" s="3">
        <v>5</v>
      </c>
    </row>
    <row r="63" spans="1:23" x14ac:dyDescent="0.25">
      <c r="A63" s="2">
        <v>2024</v>
      </c>
      <c r="B63" s="2" t="s">
        <v>48</v>
      </c>
      <c r="C63" s="2" t="s">
        <v>38</v>
      </c>
      <c r="D63" s="2" t="s">
        <v>39</v>
      </c>
      <c r="E63" s="2" t="s">
        <v>22</v>
      </c>
      <c r="F63" s="2">
        <v>205</v>
      </c>
      <c r="G63" s="2">
        <v>5</v>
      </c>
      <c r="H63" s="2">
        <v>2</v>
      </c>
      <c r="I63" s="2">
        <v>2</v>
      </c>
      <c r="J63" s="2">
        <v>5</v>
      </c>
      <c r="K63" s="3" t="s">
        <v>37</v>
      </c>
      <c r="L63" s="5" t="s">
        <v>28</v>
      </c>
      <c r="M63" s="2" t="s">
        <v>29</v>
      </c>
      <c r="N63" s="2" t="s">
        <v>30</v>
      </c>
      <c r="O63" s="3">
        <v>9.34</v>
      </c>
      <c r="P63" s="3">
        <v>14</v>
      </c>
      <c r="Q63" s="3">
        <v>43.6</v>
      </c>
      <c r="R63" s="7">
        <f t="shared" si="0"/>
        <v>9.127727272727272</v>
      </c>
      <c r="S63" s="8">
        <f t="shared" si="1"/>
        <v>717.1385971477938</v>
      </c>
      <c r="T63" s="8">
        <v>6085.775243</v>
      </c>
      <c r="U63" s="6">
        <v>76.180000000000007</v>
      </c>
      <c r="V63" s="6">
        <v>55.55</v>
      </c>
      <c r="W63" s="3">
        <v>4</v>
      </c>
    </row>
    <row r="64" spans="1:23" x14ac:dyDescent="0.25">
      <c r="A64" s="2">
        <v>2024</v>
      </c>
      <c r="B64" s="2" t="s">
        <v>48</v>
      </c>
      <c r="C64" s="2" t="s">
        <v>38</v>
      </c>
      <c r="D64" s="2" t="s">
        <v>39</v>
      </c>
      <c r="E64" s="2" t="s">
        <v>22</v>
      </c>
      <c r="F64" s="2">
        <v>206</v>
      </c>
      <c r="G64" s="2">
        <v>6</v>
      </c>
      <c r="H64" s="2">
        <v>2</v>
      </c>
      <c r="I64" s="2">
        <v>2</v>
      </c>
      <c r="J64" s="2">
        <v>1</v>
      </c>
      <c r="K64" s="3" t="s">
        <v>37</v>
      </c>
      <c r="L64" s="5" t="s">
        <v>34</v>
      </c>
      <c r="M64" s="2" t="s">
        <v>34</v>
      </c>
      <c r="N64" s="2" t="s">
        <v>34</v>
      </c>
      <c r="O64" s="3">
        <v>10.29</v>
      </c>
      <c r="P64" s="3">
        <v>15.5</v>
      </c>
      <c r="Q64" s="3">
        <v>42.7</v>
      </c>
      <c r="R64" s="7">
        <f t="shared" si="0"/>
        <v>9.8807386363636347</v>
      </c>
      <c r="S64" s="8">
        <f t="shared" si="1"/>
        <v>776.30047795552071</v>
      </c>
      <c r="T64" s="8">
        <v>6587.8342750000002</v>
      </c>
      <c r="U64" s="6">
        <v>76.33</v>
      </c>
      <c r="V64" s="6">
        <v>56.73</v>
      </c>
      <c r="W64" s="3">
        <v>6</v>
      </c>
    </row>
    <row r="65" spans="1:23" x14ac:dyDescent="0.25">
      <c r="A65" s="2">
        <v>2024</v>
      </c>
      <c r="B65" s="2" t="s">
        <v>48</v>
      </c>
      <c r="C65" s="2" t="s">
        <v>38</v>
      </c>
      <c r="D65" s="2" t="s">
        <v>39</v>
      </c>
      <c r="E65" s="2" t="s">
        <v>22</v>
      </c>
      <c r="F65" s="2">
        <v>207</v>
      </c>
      <c r="G65" s="2">
        <v>7</v>
      </c>
      <c r="H65" s="2">
        <v>2</v>
      </c>
      <c r="I65" s="2">
        <v>3</v>
      </c>
      <c r="J65" s="2">
        <v>6</v>
      </c>
      <c r="K65" s="3" t="s">
        <v>37</v>
      </c>
      <c r="L65" s="5" t="s">
        <v>28</v>
      </c>
      <c r="M65" s="2" t="s">
        <v>29</v>
      </c>
      <c r="N65" s="2" t="s">
        <v>33</v>
      </c>
      <c r="O65" s="3">
        <v>9.0500000000000007</v>
      </c>
      <c r="P65" s="3">
        <v>13.3</v>
      </c>
      <c r="Q65" s="3">
        <v>44.1</v>
      </c>
      <c r="R65" s="7">
        <f t="shared" si="0"/>
        <v>8.9163068181818179</v>
      </c>
      <c r="S65" s="8">
        <f t="shared" si="1"/>
        <v>700.52791590690094</v>
      </c>
      <c r="T65" s="8">
        <v>5944.8138259999996</v>
      </c>
      <c r="U65" s="6">
        <v>75.900000000000006</v>
      </c>
      <c r="V65" s="6">
        <v>56.18</v>
      </c>
      <c r="W65" s="3">
        <v>4</v>
      </c>
    </row>
    <row r="66" spans="1:23" x14ac:dyDescent="0.25">
      <c r="A66" s="2">
        <v>2024</v>
      </c>
      <c r="B66" s="2" t="s">
        <v>48</v>
      </c>
      <c r="C66" s="2" t="s">
        <v>38</v>
      </c>
      <c r="D66" s="2" t="s">
        <v>39</v>
      </c>
      <c r="E66" s="2" t="s">
        <v>22</v>
      </c>
      <c r="F66" s="2">
        <v>208</v>
      </c>
      <c r="G66" s="2">
        <v>8</v>
      </c>
      <c r="H66" s="2">
        <v>2</v>
      </c>
      <c r="I66" s="2">
        <v>3</v>
      </c>
      <c r="J66" s="2">
        <v>3</v>
      </c>
      <c r="K66" s="3" t="s">
        <v>37</v>
      </c>
      <c r="L66" s="5" t="s">
        <v>31</v>
      </c>
      <c r="M66" s="2" t="s">
        <v>29</v>
      </c>
      <c r="N66" s="2" t="s">
        <v>33</v>
      </c>
      <c r="O66" s="3">
        <v>10.199999999999999</v>
      </c>
      <c r="P66" s="3">
        <v>14.6</v>
      </c>
      <c r="Q66" s="3">
        <v>43.3</v>
      </c>
      <c r="R66" s="7">
        <f t="shared" si="0"/>
        <v>9.8986363636363617</v>
      </c>
      <c r="S66" s="8">
        <f t="shared" si="1"/>
        <v>777.70664957360214</v>
      </c>
      <c r="T66" s="8">
        <v>6599.7673160000004</v>
      </c>
      <c r="U66" s="6"/>
      <c r="V66" s="6"/>
      <c r="W66" s="3">
        <v>6</v>
      </c>
    </row>
    <row r="67" spans="1:23" x14ac:dyDescent="0.25">
      <c r="A67" s="2">
        <v>2024</v>
      </c>
      <c r="B67" s="2" t="s">
        <v>48</v>
      </c>
      <c r="C67" s="2" t="s">
        <v>38</v>
      </c>
      <c r="D67" s="2" t="s">
        <v>39</v>
      </c>
      <c r="E67" s="2" t="s">
        <v>22</v>
      </c>
      <c r="F67" s="2">
        <v>209</v>
      </c>
      <c r="G67" s="2">
        <v>9</v>
      </c>
      <c r="H67" s="2">
        <v>2</v>
      </c>
      <c r="I67" s="2">
        <v>3</v>
      </c>
      <c r="J67" s="2">
        <v>4</v>
      </c>
      <c r="K67" s="3" t="s">
        <v>37</v>
      </c>
      <c r="L67" s="5" t="s">
        <v>31</v>
      </c>
      <c r="M67" s="2" t="s">
        <v>29</v>
      </c>
      <c r="N67" s="2" t="s">
        <v>32</v>
      </c>
      <c r="O67" s="3">
        <v>9.73</v>
      </c>
      <c r="P67" s="3">
        <v>13.1</v>
      </c>
      <c r="Q67" s="3">
        <v>44.2</v>
      </c>
      <c r="R67" s="7">
        <f t="shared" si="0"/>
        <v>9.6083750000000006</v>
      </c>
      <c r="S67" s="8">
        <f t="shared" si="1"/>
        <v>754.90167075413842</v>
      </c>
      <c r="T67" s="8">
        <v>6406.2399059999998</v>
      </c>
      <c r="U67" s="6">
        <v>75.94</v>
      </c>
      <c r="V67" s="6">
        <v>55.49</v>
      </c>
      <c r="W67" s="3">
        <v>5</v>
      </c>
    </row>
    <row r="68" spans="1:23" x14ac:dyDescent="0.25">
      <c r="A68" s="3">
        <v>2024</v>
      </c>
      <c r="B68" s="2" t="s">
        <v>49</v>
      </c>
      <c r="C68" s="3" t="s">
        <v>40</v>
      </c>
      <c r="D68" s="2" t="s">
        <v>41</v>
      </c>
      <c r="E68" s="5" t="s">
        <v>42</v>
      </c>
      <c r="F68" s="3">
        <v>101</v>
      </c>
      <c r="G68" s="3">
        <v>1</v>
      </c>
      <c r="H68" s="3">
        <v>1</v>
      </c>
      <c r="I68" s="3">
        <v>1</v>
      </c>
      <c r="J68" s="3">
        <v>1</v>
      </c>
      <c r="K68" s="12" t="s">
        <v>19</v>
      </c>
      <c r="L68" s="12" t="s">
        <v>34</v>
      </c>
      <c r="M68" s="12" t="s">
        <v>34</v>
      </c>
      <c r="N68" s="3" t="s">
        <v>34</v>
      </c>
      <c r="O68" s="8">
        <v>22.04</v>
      </c>
      <c r="P68" s="8">
        <v>12.7</v>
      </c>
      <c r="Q68" s="8">
        <v>44</v>
      </c>
      <c r="R68" s="7">
        <f xml:space="preserve"> O68 * (1 - P68 / 100) / (1 - 0.12)</f>
        <v>21.864681818181818</v>
      </c>
      <c r="S68" s="8">
        <f>((10000 * R68 * 12% / 2.205)) / ((4.66 * 16) / 10.764)</f>
        <v>1717.8435307794593</v>
      </c>
      <c r="T68" s="8">
        <f>S68/1.121</f>
        <v>1532.4206340583937</v>
      </c>
      <c r="U68" s="3">
        <v>66.989999999999995</v>
      </c>
      <c r="V68" s="3">
        <v>50.44</v>
      </c>
    </row>
    <row r="69" spans="1:23" x14ac:dyDescent="0.25">
      <c r="A69" s="3">
        <v>2024</v>
      </c>
      <c r="B69" s="2" t="s">
        <v>49</v>
      </c>
      <c r="C69" s="3" t="s">
        <v>40</v>
      </c>
      <c r="D69" s="2" t="s">
        <v>41</v>
      </c>
      <c r="E69" s="5" t="s">
        <v>42</v>
      </c>
      <c r="F69" s="3">
        <v>102</v>
      </c>
      <c r="G69" s="3">
        <v>2</v>
      </c>
      <c r="H69" s="3">
        <v>1</v>
      </c>
      <c r="I69" s="3">
        <v>1</v>
      </c>
      <c r="J69" s="3">
        <v>2</v>
      </c>
      <c r="K69" s="12" t="s">
        <v>19</v>
      </c>
      <c r="L69" s="12" t="s">
        <v>31</v>
      </c>
      <c r="M69" s="12" t="s">
        <v>29</v>
      </c>
      <c r="N69" s="3" t="s">
        <v>30</v>
      </c>
      <c r="O69" s="8">
        <v>20.85</v>
      </c>
      <c r="P69" s="8">
        <v>12.5</v>
      </c>
      <c r="Q69" s="8">
        <v>43.9</v>
      </c>
      <c r="R69" s="7">
        <f t="shared" ref="R69:R91" si="2" xml:space="preserve"> O69 * (1 - P69 / 100) / (1 - 0.12)</f>
        <v>20.731534090909093</v>
      </c>
      <c r="S69" s="8">
        <f t="shared" ref="S69:S91" si="3">((10000 * R69 * 12% / 2.205)) / ((4.66 * 16) / 10.764)</f>
        <v>1628.8154576110585</v>
      </c>
      <c r="T69" s="8">
        <f t="shared" ref="T69:T91" si="4">S69/1.121</f>
        <v>1453.0021923381432</v>
      </c>
      <c r="U69" s="3">
        <v>71.77</v>
      </c>
      <c r="V69" s="3">
        <v>52.59</v>
      </c>
    </row>
    <row r="70" spans="1:23" x14ac:dyDescent="0.25">
      <c r="A70" s="3">
        <v>2024</v>
      </c>
      <c r="B70" s="2" t="s">
        <v>49</v>
      </c>
      <c r="C70" s="3" t="s">
        <v>40</v>
      </c>
      <c r="D70" s="2" t="s">
        <v>41</v>
      </c>
      <c r="E70" s="5" t="s">
        <v>42</v>
      </c>
      <c r="F70" s="3">
        <v>103</v>
      </c>
      <c r="G70" s="3">
        <v>3</v>
      </c>
      <c r="H70" s="3">
        <v>1</v>
      </c>
      <c r="I70" s="3">
        <v>1</v>
      </c>
      <c r="J70" s="3">
        <v>3</v>
      </c>
      <c r="K70" s="12" t="s">
        <v>19</v>
      </c>
      <c r="L70" s="12" t="s">
        <v>31</v>
      </c>
      <c r="M70" s="12" t="s">
        <v>29</v>
      </c>
      <c r="N70" s="3" t="s">
        <v>33</v>
      </c>
      <c r="O70" s="8">
        <v>20.62</v>
      </c>
      <c r="P70" s="8">
        <v>12.7</v>
      </c>
      <c r="Q70" s="8">
        <v>44.5</v>
      </c>
      <c r="R70" s="7">
        <f t="shared" si="2"/>
        <v>20.455977272727274</v>
      </c>
      <c r="S70" s="8">
        <f t="shared" si="3"/>
        <v>1607.1657715368626</v>
      </c>
      <c r="T70" s="8">
        <f t="shared" si="4"/>
        <v>1433.6893590872994</v>
      </c>
      <c r="U70" s="3">
        <v>72.08</v>
      </c>
      <c r="V70" s="3">
        <v>52.54</v>
      </c>
    </row>
    <row r="71" spans="1:23" x14ac:dyDescent="0.25">
      <c r="A71" s="3">
        <v>2024</v>
      </c>
      <c r="B71" s="2" t="s">
        <v>49</v>
      </c>
      <c r="C71" s="3" t="s">
        <v>40</v>
      </c>
      <c r="D71" s="2" t="s">
        <v>41</v>
      </c>
      <c r="E71" s="5" t="s">
        <v>42</v>
      </c>
      <c r="F71" s="3">
        <v>104</v>
      </c>
      <c r="G71" s="3">
        <v>4</v>
      </c>
      <c r="H71" s="3">
        <v>1</v>
      </c>
      <c r="I71" s="3">
        <v>1</v>
      </c>
      <c r="J71" s="3">
        <v>4</v>
      </c>
      <c r="K71" s="12" t="s">
        <v>19</v>
      </c>
      <c r="L71" s="12" t="s">
        <v>31</v>
      </c>
      <c r="M71" s="12" t="s">
        <v>29</v>
      </c>
      <c r="N71" s="3" t="s">
        <v>32</v>
      </c>
      <c r="O71" s="8">
        <v>19.91</v>
      </c>
      <c r="P71" s="8">
        <v>12.9</v>
      </c>
      <c r="Q71" s="8">
        <v>44.8</v>
      </c>
      <c r="R71" s="7">
        <f t="shared" si="2"/>
        <v>19.706374999999998</v>
      </c>
      <c r="S71" s="8">
        <f t="shared" si="3"/>
        <v>1548.2717329421034</v>
      </c>
      <c r="T71" s="8">
        <f t="shared" si="4"/>
        <v>1381.1523041410378</v>
      </c>
      <c r="U71" s="3">
        <v>71.75</v>
      </c>
      <c r="V71" s="3">
        <v>51.28</v>
      </c>
    </row>
    <row r="72" spans="1:23" x14ac:dyDescent="0.25">
      <c r="A72" s="3">
        <v>2024</v>
      </c>
      <c r="B72" s="2" t="s">
        <v>49</v>
      </c>
      <c r="C72" s="3" t="s">
        <v>40</v>
      </c>
      <c r="D72" s="2" t="s">
        <v>41</v>
      </c>
      <c r="E72" s="5" t="s">
        <v>42</v>
      </c>
      <c r="F72" s="3">
        <v>105</v>
      </c>
      <c r="G72" s="3">
        <v>5</v>
      </c>
      <c r="H72" s="3">
        <v>1</v>
      </c>
      <c r="I72" s="3">
        <v>1</v>
      </c>
      <c r="J72" s="3">
        <v>5</v>
      </c>
      <c r="K72" s="12" t="s">
        <v>19</v>
      </c>
      <c r="L72" s="12" t="s">
        <v>28</v>
      </c>
      <c r="M72" s="12" t="s">
        <v>29</v>
      </c>
      <c r="N72" s="3" t="s">
        <v>30</v>
      </c>
      <c r="O72" s="8">
        <v>21.12</v>
      </c>
      <c r="P72" s="8">
        <v>12.6</v>
      </c>
      <c r="Q72" s="8">
        <v>47.5</v>
      </c>
      <c r="R72" s="7">
        <f t="shared" si="2"/>
        <v>20.975999999999999</v>
      </c>
      <c r="S72" s="8">
        <f t="shared" si="3"/>
        <v>1648.0224227029867</v>
      </c>
      <c r="T72" s="8">
        <f t="shared" si="4"/>
        <v>1470.1359702970442</v>
      </c>
      <c r="U72" s="3">
        <v>70.77</v>
      </c>
      <c r="V72" s="3">
        <v>46.2</v>
      </c>
    </row>
    <row r="73" spans="1:23" x14ac:dyDescent="0.25">
      <c r="A73" s="3">
        <v>2024</v>
      </c>
      <c r="B73" s="2" t="s">
        <v>49</v>
      </c>
      <c r="C73" s="3" t="s">
        <v>40</v>
      </c>
      <c r="D73" s="2" t="s">
        <v>41</v>
      </c>
      <c r="E73" s="5" t="s">
        <v>42</v>
      </c>
      <c r="F73" s="3">
        <v>106</v>
      </c>
      <c r="G73" s="3">
        <v>6</v>
      </c>
      <c r="H73" s="3">
        <v>1</v>
      </c>
      <c r="I73" s="3">
        <v>1</v>
      </c>
      <c r="J73" s="3">
        <v>6</v>
      </c>
      <c r="K73" s="12" t="s">
        <v>19</v>
      </c>
      <c r="L73" s="12" t="s">
        <v>28</v>
      </c>
      <c r="M73" s="12" t="s">
        <v>29</v>
      </c>
      <c r="N73" s="3" t="s">
        <v>33</v>
      </c>
      <c r="O73" s="8">
        <v>20.75</v>
      </c>
      <c r="P73" s="8">
        <v>12.2</v>
      </c>
      <c r="Q73" s="8">
        <v>43.3</v>
      </c>
      <c r="R73" s="7">
        <f t="shared" si="2"/>
        <v>20.702840909090909</v>
      </c>
      <c r="S73" s="8">
        <f t="shared" si="3"/>
        <v>1626.561118985245</v>
      </c>
      <c r="T73" s="8">
        <f t="shared" si="4"/>
        <v>1450.9911855354549</v>
      </c>
      <c r="U73" s="3">
        <v>70.099999999999994</v>
      </c>
      <c r="V73" s="3">
        <v>47.09</v>
      </c>
    </row>
    <row r="74" spans="1:23" x14ac:dyDescent="0.25">
      <c r="A74" s="3">
        <v>2024</v>
      </c>
      <c r="B74" s="2" t="s">
        <v>49</v>
      </c>
      <c r="C74" s="3" t="s">
        <v>40</v>
      </c>
      <c r="D74" s="2" t="s">
        <v>41</v>
      </c>
      <c r="E74" s="5" t="s">
        <v>42</v>
      </c>
      <c r="F74" s="3">
        <v>201</v>
      </c>
      <c r="G74" s="3">
        <v>1</v>
      </c>
      <c r="H74" s="3">
        <v>2</v>
      </c>
      <c r="I74" s="3">
        <v>2</v>
      </c>
      <c r="J74" s="3">
        <v>2</v>
      </c>
      <c r="K74" s="12" t="s">
        <v>19</v>
      </c>
      <c r="L74" s="12" t="s">
        <v>31</v>
      </c>
      <c r="M74" s="12" t="s">
        <v>29</v>
      </c>
      <c r="N74" s="3" t="s">
        <v>30</v>
      </c>
      <c r="O74" s="8">
        <v>16.559999999999999</v>
      </c>
      <c r="P74" s="8">
        <v>12.9</v>
      </c>
      <c r="Q74" s="8">
        <v>43.8</v>
      </c>
      <c r="R74" s="7">
        <f t="shared" si="2"/>
        <v>16.390636363636364</v>
      </c>
      <c r="S74" s="8">
        <f t="shared" si="3"/>
        <v>1287.7639325726389</v>
      </c>
      <c r="T74" s="8">
        <f t="shared" si="4"/>
        <v>1148.7635437757706</v>
      </c>
      <c r="U74" s="3">
        <v>71.209999999999994</v>
      </c>
      <c r="V74" s="3">
        <v>52.59</v>
      </c>
    </row>
    <row r="75" spans="1:23" x14ac:dyDescent="0.25">
      <c r="A75" s="3">
        <v>2024</v>
      </c>
      <c r="B75" s="2" t="s">
        <v>49</v>
      </c>
      <c r="C75" s="3" t="s">
        <v>40</v>
      </c>
      <c r="D75" s="2" t="s">
        <v>41</v>
      </c>
      <c r="E75" s="5" t="s">
        <v>42</v>
      </c>
      <c r="F75" s="3">
        <v>202</v>
      </c>
      <c r="G75" s="3">
        <v>2</v>
      </c>
      <c r="H75" s="3">
        <v>2</v>
      </c>
      <c r="I75" s="3">
        <v>2</v>
      </c>
      <c r="J75" s="3">
        <v>3</v>
      </c>
      <c r="K75" s="12" t="s">
        <v>19</v>
      </c>
      <c r="L75" s="12" t="s">
        <v>31</v>
      </c>
      <c r="M75" s="12" t="s">
        <v>29</v>
      </c>
      <c r="N75" s="3" t="s">
        <v>33</v>
      </c>
      <c r="O75" s="8">
        <v>16.88</v>
      </c>
      <c r="P75" s="8">
        <v>12.8</v>
      </c>
      <c r="Q75" s="8">
        <v>44.3</v>
      </c>
      <c r="R75" s="7">
        <f t="shared" si="2"/>
        <v>16.726545454545452</v>
      </c>
      <c r="S75" s="8">
        <f t="shared" si="3"/>
        <v>1314.1553186237427</v>
      </c>
      <c r="T75" s="8">
        <f t="shared" si="4"/>
        <v>1172.3062610381292</v>
      </c>
      <c r="U75" s="3">
        <v>71.44</v>
      </c>
      <c r="V75" s="3">
        <v>52.43</v>
      </c>
    </row>
    <row r="76" spans="1:23" x14ac:dyDescent="0.25">
      <c r="A76" s="3">
        <v>2024</v>
      </c>
      <c r="B76" s="2" t="s">
        <v>49</v>
      </c>
      <c r="C76" s="3" t="s">
        <v>40</v>
      </c>
      <c r="D76" s="2" t="s">
        <v>41</v>
      </c>
      <c r="E76" s="5" t="s">
        <v>42</v>
      </c>
      <c r="F76" s="3">
        <v>203</v>
      </c>
      <c r="G76" s="3">
        <v>3</v>
      </c>
      <c r="H76" s="3">
        <v>2</v>
      </c>
      <c r="I76" s="3">
        <v>2</v>
      </c>
      <c r="J76" s="3">
        <v>4</v>
      </c>
      <c r="K76" s="12" t="s">
        <v>19</v>
      </c>
      <c r="L76" s="12" t="s">
        <v>31</v>
      </c>
      <c r="M76" s="12" t="s">
        <v>29</v>
      </c>
      <c r="N76" s="3" t="s">
        <v>32</v>
      </c>
      <c r="O76" s="8">
        <v>15.54</v>
      </c>
      <c r="P76" s="8">
        <v>12.4</v>
      </c>
      <c r="Q76" s="8">
        <v>44</v>
      </c>
      <c r="R76" s="7">
        <f t="shared" si="2"/>
        <v>15.469363636363637</v>
      </c>
      <c r="S76" s="8">
        <f t="shared" si="3"/>
        <v>1215.382252940193</v>
      </c>
      <c r="T76" s="8">
        <f t="shared" si="4"/>
        <v>1084.1946948619027</v>
      </c>
      <c r="U76" s="3">
        <v>71.430000000000007</v>
      </c>
      <c r="V76" s="3">
        <v>50.02</v>
      </c>
    </row>
    <row r="77" spans="1:23" x14ac:dyDescent="0.25">
      <c r="A77" s="3">
        <v>2024</v>
      </c>
      <c r="B77" s="2" t="s">
        <v>49</v>
      </c>
      <c r="C77" s="3" t="s">
        <v>40</v>
      </c>
      <c r="D77" s="2" t="s">
        <v>41</v>
      </c>
      <c r="E77" s="5" t="s">
        <v>42</v>
      </c>
      <c r="F77" s="3">
        <v>204</v>
      </c>
      <c r="G77" s="3">
        <v>4</v>
      </c>
      <c r="H77" s="3">
        <v>2</v>
      </c>
      <c r="I77" s="3">
        <v>2</v>
      </c>
      <c r="J77" s="3">
        <v>6</v>
      </c>
      <c r="K77" s="12" t="s">
        <v>19</v>
      </c>
      <c r="L77" s="12" t="s">
        <v>28</v>
      </c>
      <c r="M77" s="12" t="s">
        <v>29</v>
      </c>
      <c r="N77" s="3" t="s">
        <v>33</v>
      </c>
      <c r="O77" s="8">
        <v>17.260000000000002</v>
      </c>
      <c r="P77" s="8">
        <v>13.4</v>
      </c>
      <c r="Q77" s="8">
        <v>44.6</v>
      </c>
      <c r="R77" s="7">
        <f t="shared" si="2"/>
        <v>16.985409090909094</v>
      </c>
      <c r="S77" s="8">
        <f t="shared" si="3"/>
        <v>1334.4934706617726</v>
      </c>
      <c r="T77" s="8">
        <f t="shared" si="4"/>
        <v>1190.4491263708944</v>
      </c>
      <c r="U77" s="3">
        <v>71.7</v>
      </c>
      <c r="V77" s="3">
        <v>51.83</v>
      </c>
    </row>
    <row r="78" spans="1:23" x14ac:dyDescent="0.25">
      <c r="A78" s="3">
        <v>2024</v>
      </c>
      <c r="B78" s="2" t="s">
        <v>49</v>
      </c>
      <c r="C78" s="3" t="s">
        <v>40</v>
      </c>
      <c r="D78" s="2" t="s">
        <v>41</v>
      </c>
      <c r="E78" s="5" t="s">
        <v>42</v>
      </c>
      <c r="F78" s="3">
        <v>205</v>
      </c>
      <c r="G78" s="3">
        <v>5</v>
      </c>
      <c r="H78" s="3">
        <v>2</v>
      </c>
      <c r="I78" s="3">
        <v>2</v>
      </c>
      <c r="J78" s="3">
        <v>1</v>
      </c>
      <c r="K78" s="12" t="s">
        <v>19</v>
      </c>
      <c r="L78" s="12" t="s">
        <v>34</v>
      </c>
      <c r="M78" s="12" t="s">
        <v>34</v>
      </c>
      <c r="N78" s="3" t="s">
        <v>34</v>
      </c>
      <c r="O78" s="8">
        <v>18.37</v>
      </c>
      <c r="P78" s="8">
        <v>12</v>
      </c>
      <c r="Q78" s="8">
        <v>43.8</v>
      </c>
      <c r="R78" s="7">
        <f t="shared" si="2"/>
        <v>18.37</v>
      </c>
      <c r="S78" s="8">
        <f t="shared" si="3"/>
        <v>1443.2766926513093</v>
      </c>
      <c r="T78" s="8">
        <f t="shared" si="4"/>
        <v>1287.4903591893928</v>
      </c>
      <c r="U78" s="3">
        <v>71.36</v>
      </c>
      <c r="V78" s="3">
        <v>49.83</v>
      </c>
    </row>
    <row r="79" spans="1:23" x14ac:dyDescent="0.25">
      <c r="A79" s="3">
        <v>2024</v>
      </c>
      <c r="B79" s="2" t="s">
        <v>49</v>
      </c>
      <c r="C79" s="3" t="s">
        <v>40</v>
      </c>
      <c r="D79" s="2" t="s">
        <v>41</v>
      </c>
      <c r="E79" s="5" t="s">
        <v>42</v>
      </c>
      <c r="F79" s="3">
        <v>206</v>
      </c>
      <c r="G79" s="3">
        <v>6</v>
      </c>
      <c r="H79" s="3">
        <v>2</v>
      </c>
      <c r="I79" s="3">
        <v>2</v>
      </c>
      <c r="J79" s="3">
        <v>5</v>
      </c>
      <c r="K79" s="12" t="s">
        <v>19</v>
      </c>
      <c r="L79" s="12" t="s">
        <v>28</v>
      </c>
      <c r="M79" s="12" t="s">
        <v>29</v>
      </c>
      <c r="N79" s="3" t="s">
        <v>30</v>
      </c>
      <c r="O79" s="8">
        <v>18.05</v>
      </c>
      <c r="P79" s="8">
        <v>12.2</v>
      </c>
      <c r="Q79" s="8">
        <v>44.5</v>
      </c>
      <c r="R79" s="7">
        <f t="shared" si="2"/>
        <v>18.008977272727275</v>
      </c>
      <c r="S79" s="8">
        <f t="shared" si="3"/>
        <v>1414.9122022980087</v>
      </c>
      <c r="T79" s="8">
        <f t="shared" si="4"/>
        <v>1262.1875132007215</v>
      </c>
      <c r="U79" s="3">
        <v>70.75</v>
      </c>
      <c r="V79" s="3">
        <v>47.62</v>
      </c>
    </row>
    <row r="80" spans="1:23" x14ac:dyDescent="0.25">
      <c r="A80" s="3">
        <v>2024</v>
      </c>
      <c r="B80" s="2" t="s">
        <v>49</v>
      </c>
      <c r="C80" s="3" t="s">
        <v>40</v>
      </c>
      <c r="D80" s="2" t="s">
        <v>41</v>
      </c>
      <c r="E80" s="5" t="s">
        <v>42</v>
      </c>
      <c r="F80" s="3">
        <v>301</v>
      </c>
      <c r="G80" s="3">
        <v>1</v>
      </c>
      <c r="H80" s="3">
        <v>3</v>
      </c>
      <c r="I80" s="3">
        <v>3</v>
      </c>
      <c r="J80" s="3">
        <v>4</v>
      </c>
      <c r="K80" s="12" t="s">
        <v>19</v>
      </c>
      <c r="L80" s="12" t="s">
        <v>31</v>
      </c>
      <c r="M80" s="12" t="s">
        <v>29</v>
      </c>
      <c r="N80" s="3" t="s">
        <v>32</v>
      </c>
      <c r="O80" s="8">
        <v>19.12</v>
      </c>
      <c r="P80" s="8">
        <v>12.5</v>
      </c>
      <c r="Q80" s="8">
        <v>44.7</v>
      </c>
      <c r="R80" s="7">
        <f t="shared" si="2"/>
        <v>19.011363636363637</v>
      </c>
      <c r="S80" s="8">
        <f t="shared" si="3"/>
        <v>1493.6667409843371</v>
      </c>
      <c r="T80" s="8">
        <f t="shared" si="4"/>
        <v>1332.4413389690787</v>
      </c>
      <c r="U80" s="3">
        <v>71.930000000000007</v>
      </c>
      <c r="V80" s="3">
        <v>52.86</v>
      </c>
    </row>
    <row r="81" spans="1:22" x14ac:dyDescent="0.25">
      <c r="A81" s="3">
        <v>2024</v>
      </c>
      <c r="B81" s="2" t="s">
        <v>49</v>
      </c>
      <c r="C81" s="3" t="s">
        <v>40</v>
      </c>
      <c r="D81" s="2" t="s">
        <v>41</v>
      </c>
      <c r="E81" s="5" t="s">
        <v>42</v>
      </c>
      <c r="F81" s="3">
        <v>302</v>
      </c>
      <c r="G81" s="3">
        <v>2</v>
      </c>
      <c r="H81" s="3">
        <v>3</v>
      </c>
      <c r="I81" s="3">
        <v>3</v>
      </c>
      <c r="J81" s="3">
        <v>6</v>
      </c>
      <c r="K81" s="12" t="s">
        <v>19</v>
      </c>
      <c r="L81" s="12" t="s">
        <v>28</v>
      </c>
      <c r="M81" s="12" t="s">
        <v>29</v>
      </c>
      <c r="N81" s="3" t="s">
        <v>33</v>
      </c>
      <c r="O81" s="8">
        <v>18.71</v>
      </c>
      <c r="P81" s="8">
        <v>13</v>
      </c>
      <c r="Q81" s="8">
        <v>44.4</v>
      </c>
      <c r="R81" s="7">
        <f t="shared" si="2"/>
        <v>18.497386363636362</v>
      </c>
      <c r="S81" s="8">
        <f t="shared" si="3"/>
        <v>1453.285063342543</v>
      </c>
      <c r="T81" s="8">
        <f t="shared" si="4"/>
        <v>1296.4184329549894</v>
      </c>
      <c r="U81" s="3">
        <v>70.86</v>
      </c>
      <c r="V81" s="3">
        <v>49.55</v>
      </c>
    </row>
    <row r="82" spans="1:22" x14ac:dyDescent="0.25">
      <c r="A82" s="3">
        <v>2024</v>
      </c>
      <c r="B82" s="2" t="s">
        <v>49</v>
      </c>
      <c r="C82" s="3" t="s">
        <v>40</v>
      </c>
      <c r="D82" s="2" t="s">
        <v>41</v>
      </c>
      <c r="E82" s="5" t="s">
        <v>42</v>
      </c>
      <c r="F82" s="3">
        <v>303</v>
      </c>
      <c r="G82" s="3">
        <v>3</v>
      </c>
      <c r="H82" s="3">
        <v>3</v>
      </c>
      <c r="I82" s="3">
        <v>3</v>
      </c>
      <c r="J82" s="3">
        <v>1</v>
      </c>
      <c r="K82" s="12" t="s">
        <v>19</v>
      </c>
      <c r="L82" s="12" t="s">
        <v>34</v>
      </c>
      <c r="M82" s="12" t="s">
        <v>34</v>
      </c>
      <c r="N82" s="3" t="s">
        <v>34</v>
      </c>
      <c r="O82" s="8">
        <v>19.12</v>
      </c>
      <c r="P82" s="8">
        <v>12.1</v>
      </c>
      <c r="Q82" s="8">
        <v>45.4</v>
      </c>
      <c r="R82" s="7">
        <f t="shared" si="2"/>
        <v>19.098272727272729</v>
      </c>
      <c r="S82" s="8">
        <f t="shared" si="3"/>
        <v>1500.4949318002659</v>
      </c>
      <c r="T82" s="8">
        <f t="shared" si="4"/>
        <v>1338.5324993757947</v>
      </c>
      <c r="U82" s="3">
        <v>70.7</v>
      </c>
      <c r="V82" s="3">
        <v>46.36</v>
      </c>
    </row>
    <row r="83" spans="1:22" x14ac:dyDescent="0.25">
      <c r="A83" s="3">
        <v>2024</v>
      </c>
      <c r="B83" s="2" t="s">
        <v>49</v>
      </c>
      <c r="C83" s="3" t="s">
        <v>40</v>
      </c>
      <c r="D83" s="2" t="s">
        <v>41</v>
      </c>
      <c r="E83" s="5" t="s">
        <v>42</v>
      </c>
      <c r="F83" s="3">
        <v>304</v>
      </c>
      <c r="G83" s="3">
        <v>4</v>
      </c>
      <c r="H83" s="3">
        <v>3</v>
      </c>
      <c r="I83" s="3">
        <v>3</v>
      </c>
      <c r="J83" s="3">
        <v>5</v>
      </c>
      <c r="K83" s="12" t="s">
        <v>19</v>
      </c>
      <c r="L83" s="12" t="s">
        <v>28</v>
      </c>
      <c r="M83" s="12" t="s">
        <v>29</v>
      </c>
      <c r="N83" s="3" t="s">
        <v>30</v>
      </c>
      <c r="O83" s="8">
        <v>17.899999999999999</v>
      </c>
      <c r="P83" s="8">
        <v>12.4</v>
      </c>
      <c r="Q83" s="8">
        <v>46.2</v>
      </c>
      <c r="R83" s="7">
        <f t="shared" si="2"/>
        <v>17.818636363636362</v>
      </c>
      <c r="S83" s="8">
        <f t="shared" si="3"/>
        <v>1399.9576787406336</v>
      </c>
      <c r="T83" s="8">
        <f t="shared" si="4"/>
        <v>1248.8471710442761</v>
      </c>
      <c r="U83" s="3">
        <v>71.14</v>
      </c>
      <c r="V83" s="3">
        <v>46.99</v>
      </c>
    </row>
    <row r="84" spans="1:22" x14ac:dyDescent="0.25">
      <c r="A84" s="3">
        <v>2024</v>
      </c>
      <c r="B84" s="2" t="s">
        <v>49</v>
      </c>
      <c r="C84" s="3" t="s">
        <v>40</v>
      </c>
      <c r="D84" s="2" t="s">
        <v>41</v>
      </c>
      <c r="E84" s="5" t="s">
        <v>42</v>
      </c>
      <c r="F84" s="3">
        <v>305</v>
      </c>
      <c r="G84" s="3">
        <v>5</v>
      </c>
      <c r="H84" s="3">
        <v>3</v>
      </c>
      <c r="I84" s="3">
        <v>3</v>
      </c>
      <c r="J84" s="3">
        <v>3</v>
      </c>
      <c r="K84" s="12" t="s">
        <v>19</v>
      </c>
      <c r="L84" s="12" t="s">
        <v>31</v>
      </c>
      <c r="M84" s="12" t="s">
        <v>29</v>
      </c>
      <c r="N84" s="3" t="s">
        <v>33</v>
      </c>
      <c r="O84" s="8">
        <v>18.3</v>
      </c>
      <c r="P84" s="8">
        <v>12</v>
      </c>
      <c r="Q84" s="8">
        <v>44.6</v>
      </c>
      <c r="R84" s="7">
        <f t="shared" si="2"/>
        <v>18.3</v>
      </c>
      <c r="S84" s="8">
        <f t="shared" si="3"/>
        <v>1437.7769992117019</v>
      </c>
      <c r="T84" s="8">
        <f t="shared" si="4"/>
        <v>1282.5842990291721</v>
      </c>
      <c r="U84" s="3">
        <v>70.959999999999994</v>
      </c>
      <c r="V84" s="3">
        <v>44.83</v>
      </c>
    </row>
    <row r="85" spans="1:22" x14ac:dyDescent="0.25">
      <c r="A85" s="3">
        <v>2024</v>
      </c>
      <c r="B85" s="2" t="s">
        <v>49</v>
      </c>
      <c r="C85" s="3" t="s">
        <v>40</v>
      </c>
      <c r="D85" s="2" t="s">
        <v>41</v>
      </c>
      <c r="E85" s="5" t="s">
        <v>42</v>
      </c>
      <c r="F85" s="3">
        <v>306</v>
      </c>
      <c r="G85" s="3">
        <v>6</v>
      </c>
      <c r="H85" s="3">
        <v>3</v>
      </c>
      <c r="I85" s="3">
        <v>3</v>
      </c>
      <c r="J85" s="3">
        <v>2</v>
      </c>
      <c r="K85" s="12" t="s">
        <v>19</v>
      </c>
      <c r="L85" s="12" t="s">
        <v>31</v>
      </c>
      <c r="M85" s="12" t="s">
        <v>29</v>
      </c>
      <c r="N85" s="3" t="s">
        <v>30</v>
      </c>
      <c r="O85" s="8">
        <v>18.86</v>
      </c>
      <c r="P85" s="8">
        <v>11.8</v>
      </c>
      <c r="Q85" s="8">
        <v>44.3</v>
      </c>
      <c r="R85" s="7">
        <f t="shared" si="2"/>
        <v>18.902863636363634</v>
      </c>
      <c r="S85" s="8">
        <f t="shared" si="3"/>
        <v>1485.1422161529454</v>
      </c>
      <c r="T85" s="8">
        <f t="shared" si="4"/>
        <v>1324.8369457207364</v>
      </c>
      <c r="U85" s="3">
        <v>70.709999999999994</v>
      </c>
      <c r="V85" s="3">
        <v>45.42</v>
      </c>
    </row>
    <row r="86" spans="1:22" x14ac:dyDescent="0.25">
      <c r="A86" s="3">
        <v>2024</v>
      </c>
      <c r="B86" s="2" t="s">
        <v>49</v>
      </c>
      <c r="C86" s="3" t="s">
        <v>40</v>
      </c>
      <c r="D86" s="2" t="s">
        <v>41</v>
      </c>
      <c r="E86" s="5" t="s">
        <v>42</v>
      </c>
      <c r="F86" s="3">
        <v>401</v>
      </c>
      <c r="G86" s="3">
        <v>1</v>
      </c>
      <c r="H86" s="3">
        <v>4</v>
      </c>
      <c r="I86" s="3">
        <v>4</v>
      </c>
      <c r="J86" s="3">
        <v>2</v>
      </c>
      <c r="K86" s="12" t="s">
        <v>19</v>
      </c>
      <c r="L86" s="12" t="s">
        <v>31</v>
      </c>
      <c r="M86" s="12" t="s">
        <v>29</v>
      </c>
      <c r="N86" s="3" t="s">
        <v>30</v>
      </c>
      <c r="O86" s="8">
        <v>19.84</v>
      </c>
      <c r="P86" s="8">
        <v>12.3</v>
      </c>
      <c r="Q86" s="8">
        <v>44.6</v>
      </c>
      <c r="R86" s="7">
        <f t="shared" si="2"/>
        <v>19.772363636363636</v>
      </c>
      <c r="S86" s="8">
        <f t="shared" si="3"/>
        <v>1553.4562653777857</v>
      </c>
      <c r="T86" s="8">
        <f t="shared" si="4"/>
        <v>1385.7772215680516</v>
      </c>
      <c r="U86" s="3">
        <v>71.2</v>
      </c>
      <c r="V86" s="3">
        <v>50.92</v>
      </c>
    </row>
    <row r="87" spans="1:22" x14ac:dyDescent="0.25">
      <c r="A87" s="3">
        <v>2024</v>
      </c>
      <c r="B87" s="2" t="s">
        <v>49</v>
      </c>
      <c r="C87" s="3" t="s">
        <v>40</v>
      </c>
      <c r="D87" s="2" t="s">
        <v>41</v>
      </c>
      <c r="E87" s="5" t="s">
        <v>42</v>
      </c>
      <c r="F87" s="3">
        <v>402</v>
      </c>
      <c r="G87" s="3">
        <v>2</v>
      </c>
      <c r="H87" s="3">
        <v>4</v>
      </c>
      <c r="I87" s="3">
        <v>4</v>
      </c>
      <c r="J87" s="3">
        <v>4</v>
      </c>
      <c r="K87" s="12" t="s">
        <v>19</v>
      </c>
      <c r="L87" s="12" t="s">
        <v>31</v>
      </c>
      <c r="M87" s="12" t="s">
        <v>29</v>
      </c>
      <c r="N87" s="3" t="s">
        <v>32</v>
      </c>
      <c r="O87" s="8">
        <v>20.51</v>
      </c>
      <c r="P87" s="8">
        <v>12.7</v>
      </c>
      <c r="Q87" s="8">
        <v>44.3</v>
      </c>
      <c r="R87" s="7">
        <f t="shared" si="2"/>
        <v>20.346852272727276</v>
      </c>
      <c r="S87" s="8">
        <f t="shared" si="3"/>
        <v>1598.5921422997606</v>
      </c>
      <c r="T87" s="8">
        <f t="shared" si="4"/>
        <v>1426.0411617303841</v>
      </c>
      <c r="U87" s="3">
        <v>71.790000000000006</v>
      </c>
      <c r="V87" s="3">
        <v>54.14</v>
      </c>
    </row>
    <row r="88" spans="1:22" x14ac:dyDescent="0.25">
      <c r="A88" s="3">
        <v>2024</v>
      </c>
      <c r="B88" s="2" t="s">
        <v>49</v>
      </c>
      <c r="C88" s="3" t="s">
        <v>40</v>
      </c>
      <c r="D88" s="2" t="s">
        <v>41</v>
      </c>
      <c r="E88" s="5" t="s">
        <v>42</v>
      </c>
      <c r="F88" s="3">
        <v>403</v>
      </c>
      <c r="G88" s="3">
        <v>3</v>
      </c>
      <c r="H88" s="3">
        <v>4</v>
      </c>
      <c r="I88" s="3">
        <v>4</v>
      </c>
      <c r="J88" s="3">
        <v>5</v>
      </c>
      <c r="K88" s="12" t="s">
        <v>19</v>
      </c>
      <c r="L88" s="12" t="s">
        <v>28</v>
      </c>
      <c r="M88" s="12" t="s">
        <v>29</v>
      </c>
      <c r="N88" s="3" t="s">
        <v>30</v>
      </c>
      <c r="O88" s="8">
        <v>19.48</v>
      </c>
      <c r="P88" s="8">
        <v>13</v>
      </c>
      <c r="Q88" s="8">
        <v>44.1</v>
      </c>
      <c r="R88" s="7">
        <f t="shared" si="2"/>
        <v>19.258636363636366</v>
      </c>
      <c r="S88" s="8">
        <f t="shared" si="3"/>
        <v>1513.0942294982763</v>
      </c>
      <c r="T88" s="8">
        <f t="shared" si="4"/>
        <v>1349.771837197392</v>
      </c>
      <c r="U88" s="3">
        <v>71.19</v>
      </c>
      <c r="V88" s="3">
        <v>50.34</v>
      </c>
    </row>
    <row r="89" spans="1:22" x14ac:dyDescent="0.25">
      <c r="A89" s="3">
        <v>2024</v>
      </c>
      <c r="B89" s="2" t="s">
        <v>49</v>
      </c>
      <c r="C89" s="3" t="s">
        <v>40</v>
      </c>
      <c r="D89" s="2" t="s">
        <v>41</v>
      </c>
      <c r="E89" s="5" t="s">
        <v>42</v>
      </c>
      <c r="F89" s="3">
        <v>404</v>
      </c>
      <c r="G89" s="3">
        <v>4</v>
      </c>
      <c r="H89" s="3">
        <v>4</v>
      </c>
      <c r="I89" s="3">
        <v>4</v>
      </c>
      <c r="J89" s="3">
        <v>3</v>
      </c>
      <c r="K89" s="12" t="s">
        <v>19</v>
      </c>
      <c r="L89" s="12" t="s">
        <v>31</v>
      </c>
      <c r="M89" s="12" t="s">
        <v>29</v>
      </c>
      <c r="N89" s="3" t="s">
        <v>33</v>
      </c>
      <c r="O89" s="8">
        <v>19.510000000000002</v>
      </c>
      <c r="P89" s="8">
        <v>12.9</v>
      </c>
      <c r="Q89" s="8">
        <v>44.6</v>
      </c>
      <c r="R89" s="7">
        <f t="shared" si="2"/>
        <v>19.310465909090912</v>
      </c>
      <c r="S89" s="8">
        <f t="shared" si="3"/>
        <v>1517.1663239427648</v>
      </c>
      <c r="T89" s="8">
        <f t="shared" si="4"/>
        <v>1353.4043924556333</v>
      </c>
      <c r="U89" s="3">
        <v>71.98</v>
      </c>
      <c r="V89" s="3">
        <v>51.96</v>
      </c>
    </row>
    <row r="90" spans="1:22" x14ac:dyDescent="0.25">
      <c r="A90" s="3">
        <v>2024</v>
      </c>
      <c r="B90" s="2" t="s">
        <v>49</v>
      </c>
      <c r="C90" s="3" t="s">
        <v>40</v>
      </c>
      <c r="D90" s="2" t="s">
        <v>41</v>
      </c>
      <c r="E90" s="5" t="s">
        <v>42</v>
      </c>
      <c r="F90" s="3">
        <v>405</v>
      </c>
      <c r="G90" s="3">
        <v>5</v>
      </c>
      <c r="H90" s="3">
        <v>4</v>
      </c>
      <c r="I90" s="3">
        <v>4</v>
      </c>
      <c r="J90" s="3">
        <v>6</v>
      </c>
      <c r="K90" s="12" t="s">
        <v>19</v>
      </c>
      <c r="L90" s="12" t="s">
        <v>28</v>
      </c>
      <c r="M90" s="12" t="s">
        <v>29</v>
      </c>
      <c r="N90" s="3" t="s">
        <v>33</v>
      </c>
      <c r="O90" s="8">
        <v>18.54</v>
      </c>
      <c r="P90" s="8">
        <v>12.6</v>
      </c>
      <c r="Q90" s="8">
        <v>44.8</v>
      </c>
      <c r="R90" s="7">
        <f t="shared" si="2"/>
        <v>18.413590909090907</v>
      </c>
      <c r="S90" s="8">
        <f t="shared" si="3"/>
        <v>1446.7015017477918</v>
      </c>
      <c r="T90" s="8">
        <f t="shared" si="4"/>
        <v>1290.5454966528027</v>
      </c>
      <c r="U90" s="3">
        <v>71.069999999999993</v>
      </c>
      <c r="V90" s="8">
        <v>46</v>
      </c>
    </row>
    <row r="91" spans="1:22" x14ac:dyDescent="0.25">
      <c r="A91" s="3">
        <v>2024</v>
      </c>
      <c r="B91" s="2" t="s">
        <v>49</v>
      </c>
      <c r="C91" s="3" t="s">
        <v>40</v>
      </c>
      <c r="D91" s="2" t="s">
        <v>41</v>
      </c>
      <c r="E91" s="5" t="s">
        <v>42</v>
      </c>
      <c r="F91" s="3">
        <v>406</v>
      </c>
      <c r="G91" s="3">
        <v>6</v>
      </c>
      <c r="H91" s="3">
        <v>4</v>
      </c>
      <c r="I91" s="3">
        <v>4</v>
      </c>
      <c r="J91" s="3">
        <v>1</v>
      </c>
      <c r="K91" s="12" t="s">
        <v>19</v>
      </c>
      <c r="L91" s="12" t="s">
        <v>34</v>
      </c>
      <c r="M91" s="12" t="s">
        <v>34</v>
      </c>
      <c r="N91" s="3" t="s">
        <v>34</v>
      </c>
      <c r="O91" s="8">
        <v>20.99</v>
      </c>
      <c r="P91" s="8">
        <v>12</v>
      </c>
      <c r="Q91" s="8">
        <v>44.5</v>
      </c>
      <c r="R91" s="7">
        <f t="shared" si="2"/>
        <v>20.99</v>
      </c>
      <c r="S91" s="8">
        <f t="shared" si="3"/>
        <v>1649.1223613909081</v>
      </c>
      <c r="T91" s="8">
        <f t="shared" si="4"/>
        <v>1471.1171823290883</v>
      </c>
      <c r="U91" s="3">
        <v>71.040000000000006</v>
      </c>
      <c r="V91" s="3">
        <v>47.78</v>
      </c>
    </row>
    <row r="92" spans="1:22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0"/>
      <c r="M92" s="10"/>
      <c r="N92" s="9"/>
      <c r="O92" s="9"/>
      <c r="P92" s="9"/>
      <c r="Q92" s="9"/>
      <c r="R92" s="9"/>
      <c r="S92" s="9"/>
      <c r="T92" s="9"/>
      <c r="U92" s="9"/>
      <c r="V92" s="9"/>
    </row>
    <row r="93" spans="1:22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0"/>
      <c r="M93" s="10"/>
      <c r="N93" s="9"/>
      <c r="O93" s="9"/>
      <c r="P93" s="9"/>
      <c r="Q93" s="9"/>
      <c r="R93" s="9"/>
      <c r="S93" s="9"/>
      <c r="T93" s="9"/>
      <c r="U93" s="9"/>
      <c r="V93" s="9"/>
    </row>
    <row r="94" spans="1:22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0"/>
      <c r="M94" s="10"/>
      <c r="N94" s="9"/>
      <c r="O94" s="9"/>
      <c r="P94" s="9"/>
      <c r="Q94" s="9"/>
      <c r="R94" s="9"/>
      <c r="S94" s="9"/>
      <c r="T94" s="9"/>
      <c r="U94" s="9"/>
      <c r="V94" s="9"/>
    </row>
    <row r="95" spans="1:2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0"/>
      <c r="M95" s="10"/>
      <c r="N95" s="9"/>
      <c r="O95" s="9"/>
      <c r="P95" s="9"/>
      <c r="Q95" s="9"/>
      <c r="R95" s="9"/>
      <c r="S95" s="9"/>
      <c r="T95" s="9"/>
      <c r="U95" s="9"/>
      <c r="V95" s="9"/>
    </row>
    <row r="96" spans="1:22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0"/>
      <c r="M96" s="10"/>
      <c r="N96" s="9"/>
      <c r="O96" s="9"/>
      <c r="P96" s="9"/>
      <c r="Q96" s="9"/>
      <c r="R96" s="9"/>
      <c r="S96" s="9"/>
      <c r="T96" s="9"/>
      <c r="U96" s="9"/>
      <c r="V96" s="9"/>
    </row>
    <row r="97" spans="1:22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0"/>
      <c r="M97" s="10"/>
      <c r="N97" s="9"/>
      <c r="O97" s="9"/>
      <c r="P97" s="9"/>
      <c r="Q97" s="9"/>
      <c r="R97" s="9"/>
      <c r="S97" s="9"/>
      <c r="T97" s="9"/>
      <c r="U97" s="9"/>
      <c r="V97" s="9"/>
    </row>
    <row r="98" spans="1:22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0"/>
      <c r="M98" s="10"/>
      <c r="N98" s="9"/>
      <c r="O98" s="9"/>
      <c r="P98" s="9"/>
      <c r="Q98" s="9"/>
      <c r="R98" s="9"/>
      <c r="S98" s="9"/>
      <c r="T98" s="9"/>
      <c r="U98" s="9"/>
      <c r="V98" s="9"/>
    </row>
    <row r="99" spans="1:22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0"/>
      <c r="M99" s="10"/>
      <c r="N99" s="9"/>
      <c r="O99" s="9"/>
      <c r="P99" s="9"/>
      <c r="Q99" s="9"/>
      <c r="R99" s="9"/>
      <c r="S99" s="9"/>
      <c r="T99" s="9"/>
      <c r="U99" s="9"/>
      <c r="V99" s="9"/>
    </row>
    <row r="100" spans="1:22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0"/>
      <c r="M100" s="10"/>
      <c r="N100" s="9"/>
      <c r="O100" s="9"/>
      <c r="P100" s="9"/>
      <c r="Q100" s="9"/>
      <c r="R100" s="9"/>
      <c r="S100" s="9"/>
      <c r="T100" s="9"/>
      <c r="U100" s="9"/>
      <c r="V100" s="9"/>
    </row>
    <row r="101" spans="1:22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0"/>
      <c r="M101" s="10"/>
      <c r="N101" s="9"/>
      <c r="O101" s="9"/>
      <c r="P101" s="9"/>
      <c r="Q101" s="9"/>
      <c r="R101" s="9"/>
      <c r="S101" s="9"/>
      <c r="T101" s="9"/>
      <c r="U101" s="9"/>
      <c r="V101" s="9"/>
    </row>
    <row r="102" spans="1:22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0"/>
      <c r="M102" s="10"/>
      <c r="N102" s="9"/>
      <c r="O102" s="9"/>
      <c r="P102" s="9"/>
      <c r="Q102" s="9"/>
      <c r="R102" s="9"/>
      <c r="S102" s="9"/>
      <c r="T102" s="9"/>
      <c r="U102" s="9"/>
      <c r="V102" s="9"/>
    </row>
    <row r="103" spans="1:22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0"/>
      <c r="M103" s="10"/>
      <c r="N103" s="9"/>
      <c r="O103" s="9"/>
      <c r="P103" s="9"/>
      <c r="Q103" s="9"/>
      <c r="R103" s="9"/>
      <c r="S103" s="9"/>
      <c r="T103" s="9"/>
      <c r="U103" s="9"/>
      <c r="V103" s="9"/>
    </row>
    <row r="104" spans="1:22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0"/>
      <c r="M104" s="10"/>
      <c r="N104" s="9"/>
      <c r="O104" s="9"/>
      <c r="P104" s="9"/>
      <c r="Q104" s="9"/>
      <c r="R104" s="9"/>
      <c r="S104" s="9"/>
      <c r="T104" s="9"/>
      <c r="U104" s="9"/>
      <c r="V104" s="9"/>
    </row>
    <row r="105" spans="1:22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0"/>
      <c r="M105" s="10"/>
      <c r="N105" s="9"/>
      <c r="O105" s="9"/>
      <c r="P105" s="9"/>
      <c r="Q105" s="9"/>
      <c r="R105" s="9"/>
      <c r="S105" s="9"/>
      <c r="T105" s="9"/>
      <c r="U105" s="9"/>
      <c r="V105" s="9"/>
    </row>
    <row r="106" spans="1:22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/>
      <c r="M106" s="10"/>
      <c r="N106" s="9"/>
      <c r="O106" s="9"/>
      <c r="P106" s="9"/>
      <c r="Q106" s="9"/>
      <c r="R106" s="9"/>
      <c r="S106" s="9"/>
      <c r="T106" s="9"/>
      <c r="U106" s="9"/>
      <c r="V106" s="9"/>
    </row>
    <row r="107" spans="1:2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0"/>
      <c r="M107" s="10"/>
      <c r="N107" s="9"/>
      <c r="O107" s="9"/>
      <c r="P107" s="9"/>
      <c r="Q107" s="9"/>
      <c r="R107" s="9"/>
      <c r="S107" s="9"/>
      <c r="T107" s="9"/>
      <c r="U107" s="9"/>
      <c r="V107" s="9"/>
    </row>
    <row r="108" spans="1:22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0"/>
      <c r="M108" s="10"/>
      <c r="N108" s="9"/>
      <c r="O108" s="9"/>
      <c r="P108" s="9"/>
      <c r="Q108" s="9"/>
      <c r="R108" s="9"/>
      <c r="S108" s="9"/>
      <c r="T108" s="9"/>
      <c r="U108" s="9"/>
      <c r="V108" s="9"/>
    </row>
    <row r="109" spans="1:2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0"/>
      <c r="M109" s="10"/>
      <c r="N109" s="9"/>
      <c r="O109" s="9"/>
      <c r="P109" s="9"/>
      <c r="Q109" s="9"/>
      <c r="R109" s="9"/>
      <c r="S109" s="9"/>
      <c r="T109" s="9"/>
      <c r="U109" s="9"/>
      <c r="V109" s="9"/>
    </row>
    <row r="110" spans="1:22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0"/>
      <c r="M110" s="10"/>
      <c r="N110" s="9"/>
      <c r="O110" s="9"/>
      <c r="P110" s="9"/>
      <c r="Q110" s="9"/>
      <c r="R110" s="9"/>
      <c r="S110" s="9"/>
      <c r="T110" s="9"/>
      <c r="U110" s="9"/>
      <c r="V110" s="9"/>
    </row>
    <row r="111" spans="1:2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0"/>
      <c r="M111" s="10"/>
      <c r="N111" s="9"/>
      <c r="O111" s="9"/>
      <c r="P111" s="9"/>
      <c r="Q111" s="9"/>
      <c r="R111" s="9"/>
      <c r="S111" s="9"/>
      <c r="T111" s="9"/>
      <c r="U111" s="9"/>
      <c r="V111" s="9"/>
    </row>
    <row r="112" spans="1:22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0"/>
      <c r="M112" s="10"/>
      <c r="N112" s="9"/>
      <c r="O112" s="9"/>
      <c r="P112" s="9"/>
      <c r="Q112" s="9"/>
      <c r="R112" s="9"/>
      <c r="S112" s="9"/>
      <c r="T112" s="9"/>
      <c r="U112" s="9"/>
      <c r="V112" s="9"/>
    </row>
    <row r="113" spans="1:2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0"/>
      <c r="M113" s="10"/>
      <c r="N113" s="9"/>
      <c r="O113" s="9"/>
      <c r="P113" s="9"/>
      <c r="Q113" s="9"/>
      <c r="R113" s="9"/>
      <c r="S113" s="9"/>
      <c r="T113" s="9"/>
      <c r="U113" s="9"/>
      <c r="V113" s="9"/>
    </row>
    <row r="114" spans="1:22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0"/>
      <c r="M114" s="10"/>
      <c r="N114" s="9"/>
      <c r="O114" s="9"/>
      <c r="P114" s="9"/>
      <c r="Q114" s="9"/>
      <c r="R114" s="9"/>
      <c r="S114" s="9"/>
      <c r="T114" s="9"/>
      <c r="U114" s="9"/>
      <c r="V114" s="9"/>
    </row>
    <row r="115" spans="1:2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0"/>
      <c r="M115" s="10"/>
      <c r="N115" s="9"/>
      <c r="O115" s="9"/>
      <c r="P115" s="9"/>
      <c r="Q115" s="9"/>
      <c r="R115" s="9"/>
      <c r="S115" s="9"/>
      <c r="T115" s="9"/>
      <c r="U115" s="9"/>
      <c r="V115" s="9"/>
    </row>
    <row r="116" spans="1:22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0"/>
      <c r="M116" s="10"/>
      <c r="N116" s="9"/>
      <c r="O116" s="9"/>
      <c r="P116" s="9"/>
      <c r="Q116" s="9"/>
      <c r="R116" s="9"/>
      <c r="S116" s="9"/>
      <c r="T116" s="9"/>
      <c r="U116" s="9"/>
      <c r="V116" s="9"/>
    </row>
    <row r="117" spans="1:2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0"/>
      <c r="M117" s="10"/>
      <c r="N117" s="9"/>
      <c r="O117" s="9"/>
      <c r="P117" s="9"/>
      <c r="Q117" s="9"/>
      <c r="R117" s="9"/>
      <c r="S117" s="9"/>
      <c r="T117" s="9"/>
      <c r="U117" s="9"/>
      <c r="V117" s="9"/>
    </row>
    <row r="118" spans="1:22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0"/>
      <c r="M118" s="10"/>
      <c r="N118" s="9"/>
      <c r="O118" s="9"/>
      <c r="P118" s="9"/>
      <c r="Q118" s="9"/>
      <c r="R118" s="9"/>
      <c r="S118" s="9"/>
      <c r="T118" s="9"/>
      <c r="U118" s="9"/>
      <c r="V118" s="9"/>
    </row>
    <row r="119" spans="1:2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0"/>
      <c r="M119" s="10"/>
      <c r="N119" s="9"/>
      <c r="O119" s="9"/>
      <c r="P119" s="9"/>
      <c r="Q119" s="9"/>
      <c r="R119" s="9"/>
      <c r="S119" s="9"/>
      <c r="T119" s="9"/>
      <c r="U119" s="9"/>
      <c r="V119" s="9"/>
    </row>
    <row r="120" spans="1:22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  <c r="M120" s="10"/>
      <c r="N120" s="9"/>
      <c r="O120" s="9"/>
      <c r="P120" s="9"/>
      <c r="Q120" s="9"/>
      <c r="R120" s="9"/>
      <c r="S120" s="9"/>
      <c r="T120" s="9"/>
      <c r="U120" s="9"/>
      <c r="V120" s="9"/>
    </row>
    <row r="121" spans="1:22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0"/>
      <c r="M121" s="10"/>
      <c r="N121" s="9"/>
      <c r="O121" s="9"/>
      <c r="P121" s="9"/>
      <c r="Q121" s="9"/>
      <c r="R121" s="9"/>
      <c r="S121" s="9"/>
      <c r="T121" s="9"/>
      <c r="U121" s="9"/>
      <c r="V121" s="9"/>
    </row>
    <row r="122" spans="1:22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0"/>
      <c r="M122" s="10"/>
      <c r="N122" s="9"/>
      <c r="O122" s="9"/>
      <c r="P122" s="9"/>
      <c r="Q122" s="9"/>
      <c r="R122" s="9"/>
      <c r="S122" s="9"/>
      <c r="T122" s="9"/>
      <c r="U122" s="9"/>
      <c r="V122" s="9"/>
    </row>
    <row r="123" spans="1:2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0"/>
      <c r="M123" s="10"/>
      <c r="N123" s="9"/>
      <c r="O123" s="9"/>
      <c r="P123" s="9"/>
      <c r="Q123" s="9"/>
      <c r="R123" s="9"/>
      <c r="S123" s="9"/>
      <c r="T123" s="9"/>
      <c r="U123" s="9"/>
      <c r="V123" s="9"/>
    </row>
    <row r="124" spans="1:22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0"/>
      <c r="M124" s="10"/>
      <c r="N124" s="9"/>
      <c r="O124" s="9"/>
      <c r="P124" s="9"/>
      <c r="Q124" s="9"/>
      <c r="R124" s="9"/>
      <c r="S124" s="9"/>
      <c r="T124" s="9"/>
      <c r="U124" s="9"/>
      <c r="V124" s="9"/>
    </row>
    <row r="125" spans="1:2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0"/>
      <c r="M125" s="10"/>
      <c r="N125" s="9"/>
      <c r="O125" s="9"/>
      <c r="P125" s="9"/>
      <c r="Q125" s="9"/>
      <c r="R125" s="9"/>
      <c r="S125" s="9"/>
      <c r="T125" s="9"/>
      <c r="U125" s="9"/>
      <c r="V125" s="9"/>
    </row>
    <row r="126" spans="1:22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0"/>
      <c r="M126" s="10"/>
      <c r="N126" s="9"/>
      <c r="O126" s="9"/>
      <c r="P126" s="9"/>
      <c r="Q126" s="9"/>
      <c r="R126" s="9"/>
      <c r="S126" s="9"/>
      <c r="T126" s="9"/>
      <c r="U126" s="9"/>
      <c r="V126" s="9"/>
    </row>
    <row r="127" spans="1:2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0"/>
      <c r="M127" s="10"/>
      <c r="N127" s="9"/>
      <c r="O127" s="9"/>
      <c r="P127" s="9"/>
      <c r="Q127" s="9"/>
      <c r="R127" s="9"/>
      <c r="S127" s="9"/>
      <c r="T127" s="9"/>
      <c r="U127" s="9"/>
      <c r="V127" s="9"/>
    </row>
    <row r="128" spans="1:22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0"/>
      <c r="M128" s="10"/>
      <c r="N128" s="9"/>
      <c r="O128" s="9"/>
      <c r="P128" s="9"/>
      <c r="Q128" s="9"/>
      <c r="R128" s="9"/>
      <c r="S128" s="9"/>
      <c r="T128" s="9"/>
      <c r="U128" s="9"/>
      <c r="V128" s="9"/>
    </row>
    <row r="129" spans="1:2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0"/>
      <c r="M129" s="10"/>
      <c r="N129" s="9"/>
      <c r="O129" s="9"/>
      <c r="P129" s="9"/>
      <c r="Q129" s="9"/>
      <c r="R129" s="9"/>
      <c r="S129" s="9"/>
      <c r="T129" s="9"/>
      <c r="U129" s="9"/>
      <c r="V129" s="9"/>
    </row>
    <row r="130" spans="1:22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0"/>
      <c r="M130" s="10"/>
      <c r="N130" s="9"/>
      <c r="O130" s="9"/>
      <c r="P130" s="9"/>
      <c r="Q130" s="9"/>
      <c r="R130" s="9"/>
      <c r="S130" s="9"/>
      <c r="T130" s="9"/>
      <c r="U130" s="9"/>
      <c r="V130" s="9"/>
    </row>
    <row r="131" spans="1:2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0"/>
      <c r="M131" s="10"/>
      <c r="N131" s="9"/>
      <c r="O131" s="9"/>
      <c r="P131" s="9"/>
      <c r="Q131" s="9"/>
      <c r="R131" s="9"/>
      <c r="S131" s="9"/>
      <c r="T131" s="9"/>
      <c r="U131" s="9"/>
      <c r="V131" s="9"/>
    </row>
    <row r="132" spans="1:22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0"/>
      <c r="M132" s="10"/>
      <c r="N132" s="9"/>
      <c r="O132" s="9"/>
      <c r="P132" s="9"/>
      <c r="Q132" s="9"/>
      <c r="R132" s="9"/>
      <c r="S132" s="9"/>
      <c r="T132" s="9"/>
      <c r="U132" s="9"/>
      <c r="V132" s="9"/>
    </row>
    <row r="133" spans="1:2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0"/>
      <c r="M133" s="10"/>
      <c r="N133" s="9"/>
      <c r="O133" s="9"/>
      <c r="P133" s="9"/>
      <c r="Q133" s="9"/>
      <c r="R133" s="9"/>
      <c r="S133" s="9"/>
      <c r="T133" s="9"/>
      <c r="U133" s="9"/>
      <c r="V133" s="9"/>
    </row>
    <row r="134" spans="1:22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0"/>
      <c r="M134" s="10"/>
      <c r="N134" s="9"/>
      <c r="O134" s="9"/>
      <c r="P134" s="9"/>
      <c r="Q134" s="9"/>
      <c r="R134" s="9"/>
      <c r="S134" s="9"/>
      <c r="T134" s="9"/>
      <c r="U134" s="9"/>
      <c r="V134" s="9"/>
    </row>
    <row r="135" spans="1:22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0"/>
      <c r="M135" s="10"/>
      <c r="N135" s="9"/>
      <c r="O135" s="9"/>
      <c r="P135" s="9"/>
      <c r="Q135" s="9"/>
      <c r="R135" s="9"/>
      <c r="S135" s="9"/>
      <c r="T135" s="9"/>
      <c r="U135" s="9"/>
      <c r="V135" s="9"/>
    </row>
    <row r="136" spans="1:22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0"/>
      <c r="M136" s="10"/>
      <c r="N136" s="9"/>
      <c r="O136" s="9"/>
      <c r="P136" s="9"/>
      <c r="Q136" s="9"/>
      <c r="R136" s="9"/>
      <c r="S136" s="9"/>
      <c r="T136" s="9"/>
      <c r="U136" s="9"/>
      <c r="V136" s="9"/>
    </row>
    <row r="137" spans="1:22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0"/>
      <c r="M137" s="10"/>
      <c r="N137" s="9"/>
      <c r="O137" s="9"/>
      <c r="P137" s="9"/>
      <c r="Q137" s="9"/>
      <c r="R137" s="9"/>
      <c r="S137" s="9"/>
      <c r="T137" s="9"/>
      <c r="U137" s="9"/>
      <c r="V137" s="9"/>
    </row>
    <row r="138" spans="1:22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0"/>
      <c r="M138" s="10"/>
      <c r="N138" s="9"/>
      <c r="O138" s="9"/>
      <c r="P138" s="9"/>
      <c r="Q138" s="9"/>
      <c r="R138" s="9"/>
      <c r="S138" s="9"/>
      <c r="T138" s="9"/>
      <c r="U138" s="9"/>
      <c r="V138" s="9"/>
    </row>
    <row r="139" spans="1:22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0"/>
      <c r="M139" s="10"/>
      <c r="N139" s="9"/>
      <c r="O139" s="9"/>
      <c r="P139" s="9"/>
      <c r="Q139" s="9"/>
      <c r="R139" s="9"/>
      <c r="S139" s="9"/>
      <c r="T139" s="9"/>
      <c r="U139" s="9"/>
      <c r="V139" s="9"/>
    </row>
    <row r="140" spans="1:22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0"/>
      <c r="M140" s="10"/>
      <c r="N140" s="9"/>
      <c r="O140" s="9"/>
      <c r="P140" s="9"/>
      <c r="Q140" s="9"/>
      <c r="R140" s="9"/>
      <c r="S140" s="9"/>
      <c r="T140" s="9"/>
      <c r="U140" s="9"/>
      <c r="V140" s="9"/>
    </row>
    <row r="141" spans="1:22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0"/>
      <c r="M141" s="10"/>
      <c r="N141" s="9"/>
      <c r="O141" s="9"/>
      <c r="P141" s="9"/>
      <c r="Q141" s="9"/>
      <c r="R141" s="9"/>
      <c r="S141" s="9"/>
      <c r="T141" s="9"/>
      <c r="U141" s="9"/>
      <c r="V141" s="9"/>
    </row>
    <row r="142" spans="1:22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0"/>
      <c r="M142" s="10"/>
      <c r="N142" s="9"/>
      <c r="O142" s="9"/>
      <c r="P142" s="9"/>
      <c r="Q142" s="9"/>
      <c r="R142" s="9"/>
      <c r="S142" s="9"/>
      <c r="T142" s="9"/>
      <c r="U142" s="9"/>
      <c r="V142" s="9"/>
    </row>
    <row r="143" spans="1:22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0"/>
      <c r="M143" s="10"/>
      <c r="N143" s="9"/>
      <c r="O143" s="9"/>
      <c r="P143" s="9"/>
      <c r="Q143" s="9"/>
      <c r="R143" s="9"/>
      <c r="S143" s="9"/>
      <c r="T143" s="9"/>
      <c r="U143" s="9"/>
      <c r="V143" s="9"/>
    </row>
    <row r="144" spans="1:22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0"/>
      <c r="M144" s="10"/>
      <c r="N144" s="9"/>
      <c r="O144" s="9"/>
      <c r="P144" s="9"/>
      <c r="Q144" s="9"/>
      <c r="R144" s="9"/>
      <c r="S144" s="9"/>
      <c r="T144" s="9"/>
      <c r="U144" s="9"/>
      <c r="V144" s="9"/>
    </row>
    <row r="145" spans="1:22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0"/>
      <c r="M145" s="10"/>
      <c r="N145" s="9"/>
      <c r="O145" s="9"/>
      <c r="P145" s="9"/>
      <c r="Q145" s="9"/>
      <c r="R145" s="9"/>
      <c r="S145" s="9"/>
      <c r="T145" s="9"/>
      <c r="U145" s="9"/>
      <c r="V145" s="9"/>
    </row>
    <row r="146" spans="1:22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0"/>
      <c r="M146" s="10"/>
      <c r="N146" s="9"/>
      <c r="O146" s="9"/>
      <c r="P146" s="9"/>
      <c r="Q146" s="9"/>
      <c r="R146" s="9"/>
      <c r="S146" s="9"/>
      <c r="T146" s="9"/>
      <c r="U146" s="9"/>
      <c r="V146" s="9"/>
    </row>
    <row r="147" spans="1:22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0"/>
      <c r="M147" s="10"/>
      <c r="N147" s="9"/>
      <c r="O147" s="9"/>
      <c r="P147" s="9"/>
      <c r="Q147" s="9"/>
      <c r="R147" s="9"/>
      <c r="S147" s="9"/>
      <c r="T147" s="9"/>
      <c r="U147" s="9"/>
      <c r="V147" s="9"/>
    </row>
    <row r="148" spans="1:22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0"/>
      <c r="M148" s="10"/>
      <c r="N148" s="9"/>
      <c r="O148" s="9"/>
      <c r="P148" s="9"/>
      <c r="Q148" s="9"/>
      <c r="R148" s="9"/>
      <c r="S148" s="9"/>
      <c r="T148" s="9"/>
      <c r="U148" s="9"/>
      <c r="V148" s="9"/>
    </row>
    <row r="149" spans="1:22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0"/>
      <c r="M149" s="10"/>
      <c r="N149" s="9"/>
      <c r="O149" s="9"/>
      <c r="P149" s="9"/>
      <c r="Q149" s="9"/>
      <c r="R149" s="9"/>
      <c r="S149" s="9"/>
      <c r="T149" s="9"/>
      <c r="U149" s="9"/>
      <c r="V149" s="9"/>
    </row>
    <row r="150" spans="1:22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0"/>
      <c r="M150" s="10"/>
      <c r="N150" s="9"/>
      <c r="O150" s="9"/>
      <c r="P150" s="9"/>
      <c r="Q150" s="9"/>
      <c r="R150" s="9"/>
      <c r="S150" s="9"/>
      <c r="T150" s="9"/>
      <c r="U150" s="9"/>
      <c r="V150" s="9"/>
    </row>
    <row r="151" spans="1:22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0"/>
      <c r="M151" s="10"/>
      <c r="N151" s="9"/>
      <c r="O151" s="9"/>
      <c r="P151" s="9"/>
      <c r="Q151" s="9"/>
      <c r="R151" s="9"/>
      <c r="S151" s="9"/>
      <c r="T151" s="9"/>
      <c r="U151" s="9"/>
      <c r="V151" s="9"/>
    </row>
    <row r="152" spans="1:22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0"/>
      <c r="M152" s="10"/>
      <c r="N152" s="9"/>
      <c r="O152" s="9"/>
      <c r="P152" s="9"/>
      <c r="Q152" s="9"/>
      <c r="R152" s="9"/>
      <c r="S152" s="9"/>
      <c r="T152" s="9"/>
      <c r="U152" s="9"/>
      <c r="V152" s="9"/>
    </row>
    <row r="153" spans="1:22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0"/>
      <c r="M153" s="10"/>
      <c r="N153" s="9"/>
      <c r="O153" s="9"/>
      <c r="P153" s="9"/>
      <c r="Q153" s="9"/>
      <c r="R153" s="9"/>
      <c r="S153" s="9"/>
      <c r="T153" s="9"/>
      <c r="U153" s="9"/>
      <c r="V153" s="9"/>
    </row>
    <row r="154" spans="1:22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0"/>
      <c r="M154" s="10"/>
      <c r="N154" s="9"/>
      <c r="O154" s="9"/>
      <c r="P154" s="9"/>
      <c r="Q154" s="9"/>
      <c r="R154" s="9"/>
      <c r="S154" s="9"/>
      <c r="T154" s="9"/>
      <c r="U154" s="9"/>
      <c r="V154" s="9"/>
    </row>
    <row r="155" spans="1:22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0"/>
      <c r="M155" s="10"/>
      <c r="N155" s="9"/>
      <c r="O155" s="9"/>
      <c r="P155" s="9"/>
      <c r="Q155" s="9"/>
      <c r="R155" s="9"/>
      <c r="S155" s="9"/>
      <c r="T155" s="9"/>
      <c r="U155" s="9"/>
      <c r="V155" s="9"/>
    </row>
    <row r="156" spans="1:22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0"/>
      <c r="M156" s="10"/>
      <c r="N156" s="9"/>
      <c r="O156" s="9"/>
      <c r="P156" s="9"/>
      <c r="Q156" s="9"/>
      <c r="R156" s="9"/>
      <c r="S156" s="9"/>
      <c r="T156" s="9"/>
      <c r="U156" s="9"/>
      <c r="V156" s="9"/>
    </row>
    <row r="157" spans="1:22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0"/>
      <c r="M157" s="10"/>
      <c r="N157" s="9"/>
      <c r="O157" s="9"/>
      <c r="P157" s="9"/>
      <c r="Q157" s="9"/>
      <c r="R157" s="9"/>
      <c r="S157" s="9"/>
      <c r="T157" s="9"/>
      <c r="U157" s="9"/>
      <c r="V157" s="9"/>
    </row>
    <row r="158" spans="1:22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0"/>
      <c r="M158" s="10"/>
      <c r="N158" s="9"/>
      <c r="O158" s="9"/>
      <c r="P158" s="9"/>
      <c r="Q158" s="9"/>
      <c r="R158" s="9"/>
      <c r="S158" s="9"/>
      <c r="T158" s="9"/>
      <c r="U158" s="9"/>
      <c r="V158" s="9"/>
    </row>
    <row r="159" spans="1:22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0"/>
      <c r="M159" s="10"/>
      <c r="N159" s="9"/>
      <c r="O159" s="9"/>
      <c r="P159" s="9"/>
      <c r="Q159" s="9"/>
      <c r="R159" s="9"/>
      <c r="S159" s="9"/>
      <c r="T159" s="9"/>
      <c r="U159" s="9"/>
      <c r="V159" s="9"/>
    </row>
    <row r="160" spans="1:22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0"/>
      <c r="M160" s="10"/>
      <c r="N160" s="9"/>
      <c r="O160" s="9"/>
      <c r="P160" s="9"/>
      <c r="Q160" s="9"/>
      <c r="R160" s="9"/>
      <c r="S160" s="9"/>
      <c r="T160" s="9"/>
      <c r="U160" s="9"/>
      <c r="V160" s="9"/>
    </row>
    <row r="161" spans="1:22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0"/>
      <c r="M161" s="10"/>
      <c r="N161" s="9"/>
      <c r="O161" s="9"/>
      <c r="P161" s="9"/>
      <c r="Q161" s="9"/>
      <c r="R161" s="9"/>
      <c r="S161" s="9"/>
      <c r="T161" s="9"/>
      <c r="U161" s="9"/>
      <c r="V161" s="9"/>
    </row>
    <row r="162" spans="1:22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0"/>
      <c r="M162" s="10"/>
      <c r="N162" s="9"/>
      <c r="O162" s="9"/>
      <c r="P162" s="9"/>
      <c r="Q162" s="9"/>
      <c r="R162" s="9"/>
      <c r="S162" s="9"/>
      <c r="T162" s="9"/>
      <c r="U162" s="9"/>
      <c r="V162" s="9"/>
    </row>
    <row r="163" spans="1:22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0"/>
      <c r="M163" s="10"/>
      <c r="N163" s="9"/>
      <c r="O163" s="9"/>
      <c r="P163" s="9"/>
      <c r="Q163" s="9"/>
      <c r="R163" s="9"/>
      <c r="S163" s="9"/>
      <c r="T163" s="9"/>
      <c r="U163" s="9"/>
      <c r="V163" s="9"/>
    </row>
    <row r="164" spans="1:22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0"/>
      <c r="M164" s="10"/>
      <c r="N164" s="9"/>
      <c r="O164" s="9"/>
      <c r="P164" s="9"/>
      <c r="Q164" s="9"/>
      <c r="R164" s="9"/>
      <c r="S164" s="9"/>
      <c r="T164" s="9"/>
      <c r="U164" s="9"/>
      <c r="V164" s="9"/>
    </row>
    <row r="165" spans="1:22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0"/>
      <c r="M165" s="10"/>
      <c r="N165" s="9"/>
      <c r="O165" s="9"/>
      <c r="P165" s="9"/>
      <c r="Q165" s="9"/>
      <c r="R165" s="9"/>
      <c r="S165" s="9"/>
      <c r="T165" s="9"/>
      <c r="U165" s="9"/>
      <c r="V165" s="9"/>
    </row>
    <row r="166" spans="1:22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0"/>
      <c r="M166" s="10"/>
      <c r="N166" s="9"/>
      <c r="O166" s="9"/>
      <c r="P166" s="9"/>
      <c r="Q166" s="9"/>
      <c r="R166" s="9"/>
      <c r="S166" s="9"/>
      <c r="T166" s="9"/>
      <c r="U166" s="9"/>
      <c r="V166" s="9"/>
    </row>
    <row r="167" spans="1:22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0"/>
      <c r="M167" s="10"/>
      <c r="N167" s="9"/>
      <c r="O167" s="9"/>
      <c r="P167" s="9"/>
      <c r="Q167" s="9"/>
      <c r="R167" s="9"/>
      <c r="S167" s="9"/>
      <c r="T167" s="9"/>
      <c r="U167" s="9"/>
      <c r="V167" s="9"/>
    </row>
    <row r="168" spans="1:22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0"/>
      <c r="M168" s="10"/>
      <c r="N168" s="9"/>
      <c r="O168" s="9"/>
      <c r="P168" s="9"/>
      <c r="Q168" s="9"/>
      <c r="R168" s="9"/>
      <c r="S168" s="9"/>
      <c r="T168" s="9"/>
      <c r="U168" s="9"/>
      <c r="V168" s="9"/>
    </row>
    <row r="169" spans="1:22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0"/>
      <c r="M169" s="10"/>
      <c r="N169" s="9"/>
      <c r="O169" s="9"/>
      <c r="P169" s="9"/>
      <c r="Q169" s="9"/>
      <c r="R169" s="9"/>
      <c r="S169" s="9"/>
      <c r="T169" s="9"/>
      <c r="U169" s="9"/>
      <c r="V169" s="9"/>
    </row>
    <row r="170" spans="1:22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0"/>
      <c r="M170" s="10"/>
      <c r="N170" s="9"/>
      <c r="O170" s="9"/>
      <c r="P170" s="9"/>
      <c r="Q170" s="9"/>
      <c r="R170" s="9"/>
      <c r="S170" s="9"/>
      <c r="T170" s="9"/>
      <c r="U170" s="9"/>
      <c r="V170" s="9"/>
    </row>
    <row r="171" spans="1:22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0"/>
      <c r="M171" s="10"/>
      <c r="N171" s="9"/>
      <c r="O171" s="9"/>
      <c r="P171" s="9"/>
      <c r="Q171" s="9"/>
      <c r="R171" s="9"/>
      <c r="S171" s="9"/>
      <c r="T171" s="9"/>
      <c r="U171" s="9"/>
      <c r="V171" s="9"/>
    </row>
    <row r="172" spans="1:22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0"/>
      <c r="M172" s="10"/>
      <c r="N172" s="9"/>
      <c r="O172" s="9"/>
      <c r="P172" s="9"/>
      <c r="Q172" s="9"/>
      <c r="R172" s="9"/>
      <c r="S172" s="9"/>
      <c r="T172" s="9"/>
      <c r="U172" s="9"/>
      <c r="V172" s="9"/>
    </row>
    <row r="173" spans="1:22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0"/>
      <c r="M173" s="10"/>
      <c r="N173" s="9"/>
      <c r="O173" s="9"/>
      <c r="P173" s="9"/>
      <c r="Q173" s="9"/>
      <c r="R173" s="9"/>
      <c r="S173" s="9"/>
      <c r="T173" s="9"/>
      <c r="U173" s="9"/>
      <c r="V173" s="9"/>
    </row>
    <row r="174" spans="1:22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0"/>
      <c r="M174" s="10"/>
      <c r="N174" s="9"/>
      <c r="O174" s="9"/>
      <c r="P174" s="9"/>
      <c r="Q174" s="9"/>
      <c r="R174" s="9"/>
      <c r="S174" s="9"/>
      <c r="T174" s="9"/>
      <c r="U174" s="9"/>
      <c r="V174" s="9"/>
    </row>
    <row r="175" spans="1:22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0"/>
      <c r="M175" s="10"/>
      <c r="N175" s="9"/>
      <c r="O175" s="9"/>
      <c r="P175" s="9"/>
      <c r="Q175" s="9"/>
      <c r="R175" s="9"/>
      <c r="S175" s="9"/>
      <c r="T175" s="9"/>
      <c r="U175" s="9"/>
      <c r="V175" s="9"/>
    </row>
    <row r="176" spans="1:22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0"/>
      <c r="M176" s="10"/>
      <c r="N176" s="9"/>
      <c r="O176" s="9"/>
      <c r="P176" s="9"/>
      <c r="Q176" s="9"/>
      <c r="R176" s="9"/>
      <c r="S176" s="9"/>
      <c r="T176" s="9"/>
      <c r="U176" s="9"/>
      <c r="V176" s="9"/>
    </row>
    <row r="177" spans="1:22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0"/>
      <c r="M177" s="10"/>
      <c r="N177" s="9"/>
      <c r="O177" s="9"/>
      <c r="P177" s="9"/>
      <c r="Q177" s="9"/>
      <c r="R177" s="9"/>
      <c r="S177" s="9"/>
      <c r="T177" s="9"/>
      <c r="U177" s="9"/>
      <c r="V177" s="9"/>
    </row>
    <row r="178" spans="1:22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0"/>
      <c r="M178" s="10"/>
      <c r="N178" s="9"/>
      <c r="O178" s="9"/>
      <c r="P178" s="9"/>
      <c r="Q178" s="9"/>
      <c r="R178" s="9"/>
      <c r="S178" s="9"/>
      <c r="T178" s="9"/>
      <c r="U178" s="9"/>
      <c r="V178" s="9"/>
    </row>
    <row r="179" spans="1:22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0"/>
      <c r="M179" s="10"/>
      <c r="N179" s="9"/>
      <c r="O179" s="9"/>
      <c r="P179" s="9"/>
      <c r="Q179" s="9"/>
      <c r="R179" s="9"/>
      <c r="S179" s="9"/>
      <c r="T179" s="9"/>
      <c r="U179" s="9"/>
      <c r="V179" s="9"/>
    </row>
    <row r="180" spans="1:22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0"/>
      <c r="M180" s="10"/>
      <c r="N180" s="9"/>
      <c r="O180" s="9"/>
      <c r="P180" s="9"/>
      <c r="Q180" s="9"/>
      <c r="R180" s="9"/>
      <c r="S180" s="9"/>
      <c r="T180" s="9"/>
      <c r="U180" s="9"/>
      <c r="V180" s="9"/>
    </row>
    <row r="181" spans="1:22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  <c r="M181" s="10"/>
      <c r="N181" s="9"/>
      <c r="O181" s="9"/>
      <c r="P181" s="9"/>
      <c r="Q181" s="9"/>
      <c r="R181" s="9"/>
      <c r="S181" s="9"/>
      <c r="T181" s="9"/>
      <c r="U181" s="9"/>
      <c r="V181" s="9"/>
    </row>
    <row r="182" spans="1:22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0"/>
      <c r="M182" s="10"/>
      <c r="N182" s="9"/>
      <c r="O182" s="9"/>
      <c r="P182" s="9"/>
      <c r="Q182" s="9"/>
      <c r="R182" s="9"/>
      <c r="S182" s="9"/>
      <c r="T182" s="9"/>
      <c r="U182" s="9"/>
      <c r="V182" s="9"/>
    </row>
    <row r="183" spans="1:22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0"/>
      <c r="M183" s="10"/>
      <c r="N183" s="9"/>
      <c r="O183" s="9"/>
      <c r="P183" s="9"/>
      <c r="Q183" s="9"/>
      <c r="R183" s="9"/>
      <c r="S183" s="9"/>
      <c r="T183" s="9"/>
      <c r="U183" s="9"/>
      <c r="V183" s="9"/>
    </row>
    <row r="184" spans="1:22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0"/>
      <c r="M184" s="10"/>
      <c r="N184" s="9"/>
      <c r="O184" s="9"/>
      <c r="P184" s="9"/>
      <c r="Q184" s="9"/>
      <c r="R184" s="9"/>
      <c r="S184" s="9"/>
      <c r="T184" s="9"/>
      <c r="U184" s="9"/>
      <c r="V184" s="9"/>
    </row>
    <row r="185" spans="1:22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0"/>
      <c r="M185" s="10"/>
      <c r="N185" s="9"/>
      <c r="O185" s="9"/>
      <c r="P185" s="9"/>
      <c r="Q185" s="9"/>
      <c r="R185" s="9"/>
      <c r="S185" s="9"/>
      <c r="T185" s="9"/>
      <c r="U185" s="9"/>
      <c r="V185" s="9"/>
    </row>
    <row r="186" spans="1:22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0"/>
      <c r="M186" s="10"/>
      <c r="N186" s="9"/>
      <c r="O186" s="9"/>
      <c r="P186" s="9"/>
      <c r="Q186" s="9"/>
      <c r="R186" s="9"/>
      <c r="S186" s="9"/>
      <c r="T186" s="9"/>
      <c r="U186" s="9"/>
      <c r="V186" s="9"/>
    </row>
    <row r="187" spans="1:22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0"/>
      <c r="M187" s="10"/>
      <c r="N187" s="9"/>
      <c r="O187" s="9"/>
      <c r="P187" s="9"/>
      <c r="Q187" s="9"/>
      <c r="R187" s="9"/>
      <c r="S187" s="9"/>
      <c r="T187" s="9"/>
      <c r="U187" s="9"/>
      <c r="V187" s="9"/>
    </row>
    <row r="188" spans="1:22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0"/>
      <c r="M188" s="10"/>
      <c r="N188" s="9"/>
      <c r="O188" s="9"/>
      <c r="P188" s="9"/>
      <c r="Q188" s="9"/>
      <c r="R188" s="9"/>
      <c r="S188" s="9"/>
      <c r="T188" s="9"/>
      <c r="U188" s="9"/>
      <c r="V188" s="9"/>
    </row>
    <row r="189" spans="1:22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0"/>
      <c r="M189" s="10"/>
      <c r="N189" s="9"/>
      <c r="O189" s="9"/>
      <c r="P189" s="9"/>
      <c r="Q189" s="9"/>
      <c r="R189" s="9"/>
      <c r="S189" s="9"/>
      <c r="T189" s="9"/>
      <c r="U189" s="9"/>
      <c r="V189" s="9"/>
    </row>
    <row r="190" spans="1:22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0"/>
      <c r="M190" s="10"/>
      <c r="N190" s="9"/>
      <c r="O190" s="9"/>
      <c r="P190" s="9"/>
      <c r="Q190" s="9"/>
      <c r="R190" s="9"/>
      <c r="S190" s="9"/>
      <c r="T190" s="9"/>
      <c r="U190" s="9"/>
      <c r="V190" s="9"/>
    </row>
    <row r="191" spans="1:22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0"/>
      <c r="M191" s="10"/>
      <c r="N191" s="9"/>
      <c r="O191" s="9"/>
      <c r="P191" s="9"/>
      <c r="Q191" s="9"/>
      <c r="R191" s="9"/>
      <c r="S191" s="9"/>
      <c r="T191" s="9"/>
      <c r="U191" s="9"/>
      <c r="V191" s="9"/>
    </row>
    <row r="192" spans="1:22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0"/>
      <c r="M192" s="10"/>
      <c r="N192" s="9"/>
      <c r="O192" s="9"/>
      <c r="P192" s="9"/>
      <c r="Q192" s="9"/>
      <c r="R192" s="9"/>
      <c r="S192" s="9"/>
      <c r="T192" s="9"/>
      <c r="U192" s="9"/>
      <c r="V192" s="9"/>
    </row>
    <row r="193" spans="1:22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0"/>
      <c r="M193" s="10"/>
      <c r="N193" s="9"/>
      <c r="O193" s="9"/>
      <c r="P193" s="9"/>
      <c r="Q193" s="9"/>
      <c r="R193" s="9"/>
      <c r="S193" s="9"/>
      <c r="T193" s="9"/>
      <c r="U193" s="9"/>
      <c r="V193" s="9"/>
    </row>
    <row r="194" spans="1:22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0"/>
      <c r="M194" s="10"/>
      <c r="N194" s="9"/>
      <c r="O194" s="9"/>
      <c r="P194" s="9"/>
      <c r="Q194" s="9"/>
      <c r="R194" s="9"/>
      <c r="S194" s="9"/>
      <c r="T194" s="9"/>
      <c r="U194" s="9"/>
      <c r="V194" s="9"/>
    </row>
    <row r="195" spans="1:22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0"/>
      <c r="M195" s="10"/>
      <c r="N195" s="9"/>
      <c r="O195" s="9"/>
      <c r="P195" s="9"/>
      <c r="Q195" s="9"/>
      <c r="R195" s="9"/>
      <c r="S195" s="9"/>
      <c r="T195" s="9"/>
      <c r="U195" s="9"/>
      <c r="V195" s="9"/>
    </row>
    <row r="196" spans="1:22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0"/>
      <c r="M196" s="10"/>
      <c r="N196" s="9"/>
      <c r="O196" s="9"/>
      <c r="P196" s="9"/>
      <c r="Q196" s="9"/>
      <c r="R196" s="9"/>
      <c r="S196" s="9"/>
      <c r="T196" s="9"/>
      <c r="U196" s="9"/>
      <c r="V196" s="9"/>
    </row>
    <row r="197" spans="1:22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0"/>
      <c r="M197" s="10"/>
      <c r="N197" s="9"/>
      <c r="O197" s="9"/>
      <c r="P197" s="9"/>
      <c r="Q197" s="9"/>
      <c r="R197" s="9"/>
      <c r="S197" s="9"/>
      <c r="T197" s="9"/>
      <c r="U197" s="9"/>
      <c r="V197" s="9"/>
    </row>
    <row r="198" spans="1:22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0"/>
      <c r="M198" s="10"/>
      <c r="N198" s="9"/>
      <c r="O198" s="9"/>
      <c r="P198" s="9"/>
      <c r="Q198" s="9"/>
      <c r="R198" s="9"/>
      <c r="S198" s="9"/>
      <c r="T198" s="9"/>
      <c r="U198" s="9"/>
      <c r="V198" s="9"/>
    </row>
    <row r="199" spans="1:22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0"/>
      <c r="M199" s="10"/>
      <c r="N199" s="9"/>
      <c r="O199" s="9"/>
      <c r="P199" s="9"/>
      <c r="Q199" s="9"/>
      <c r="R199" s="9"/>
      <c r="S199" s="9"/>
      <c r="T199" s="9"/>
      <c r="U199" s="9"/>
      <c r="V199" s="9"/>
    </row>
    <row r="200" spans="1:22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0"/>
      <c r="M200" s="10"/>
      <c r="N200" s="9"/>
      <c r="O200" s="9"/>
      <c r="P200" s="9"/>
      <c r="Q200" s="9"/>
      <c r="R200" s="9"/>
      <c r="S200" s="9"/>
      <c r="T200" s="9"/>
      <c r="U200" s="9"/>
      <c r="V200" s="9"/>
    </row>
    <row r="201" spans="1:22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0"/>
      <c r="M201" s="10"/>
      <c r="N201" s="9"/>
      <c r="O201" s="9"/>
      <c r="P201" s="9"/>
      <c r="Q201" s="9"/>
      <c r="R201" s="9"/>
      <c r="S201" s="9"/>
      <c r="T201" s="9"/>
      <c r="U201" s="9"/>
      <c r="V201" s="9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c096b0cb6809c35262818d47acb86f92">
  <xsd:schema xmlns:xsd="http://www.w3.org/2001/XMLSchema" xmlns:xs="http://www.w3.org/2001/XMLSchema" xmlns:p="http://schemas.microsoft.com/office/2006/metadata/properties" xmlns:ns2="b2843789-6ce0-4c67-8bf3-b5ed13cce4b2" targetNamespace="http://schemas.microsoft.com/office/2006/metadata/properties" ma:root="true" ma:fieldsID="a513e3194161eb6bd4c9ae0bcc385172" ns2:_="">
    <xsd:import namespace="b2843789-6ce0-4c67-8bf3-b5ed13cce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E192F-65F2-4B59-AEA2-95F93556C8D6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2843789-6ce0-4c67-8bf3-b5ed13cce4b2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E8CD45A-A0E8-4060-91AF-9B0DE1D865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A5ACC8-10E1-4CB0-9693-9C5D73349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Cerutti, Anderson Da Cruz</dc:creator>
  <cp:keywords/>
  <dc:description/>
  <cp:lastModifiedBy>Cerutti, Anderson Da Cruz</cp:lastModifiedBy>
  <cp:revision/>
  <dcterms:created xsi:type="dcterms:W3CDTF">2025-01-17T17:55:21Z</dcterms:created>
  <dcterms:modified xsi:type="dcterms:W3CDTF">2026-01-21T17:01:01Z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